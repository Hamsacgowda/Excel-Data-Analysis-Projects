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8th sem\"/>
    </mc:Choice>
  </mc:AlternateContent>
  <xr:revisionPtr revIDLastSave="0" documentId="13_ncr:1_{0F9432B4-A94B-4A8C-B317-7A70895A5C42}" xr6:coauthVersionLast="47" xr6:coauthVersionMax="47" xr10:uidLastSave="{00000000-0000-0000-0000-000000000000}"/>
  <bookViews>
    <workbookView xWindow="-108" yWindow="-108" windowWidth="23256" windowHeight="12456" xr2:uid="{424322DC-76F3-4299-858C-1C867DA12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D26" i="1"/>
  <c r="E26" i="1"/>
  <c r="F26" i="1"/>
  <c r="D27" i="1"/>
  <c r="E27" i="1"/>
  <c r="F27" i="1"/>
  <c r="C25" i="1"/>
  <c r="C27" i="1"/>
  <c r="C26" i="1"/>
  <c r="M17" i="1"/>
  <c r="M16" i="1"/>
  <c r="M9" i="1"/>
  <c r="M8" i="1"/>
  <c r="I4" i="1"/>
  <c r="I25" i="1" s="1"/>
  <c r="J4" i="1"/>
  <c r="J25" i="1" s="1"/>
  <c r="K4" i="1"/>
  <c r="K27" i="1" s="1"/>
  <c r="I5" i="1"/>
  <c r="M5" i="1" s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J27" i="1" s="1"/>
  <c r="K10" i="1"/>
  <c r="I11" i="1"/>
  <c r="J11" i="1"/>
  <c r="K11" i="1"/>
  <c r="I12" i="1"/>
  <c r="J12" i="1"/>
  <c r="K12" i="1"/>
  <c r="I13" i="1"/>
  <c r="M13" i="1" s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M21" i="1" s="1"/>
  <c r="J21" i="1"/>
  <c r="K21" i="1"/>
  <c r="I22" i="1"/>
  <c r="J22" i="1"/>
  <c r="K22" i="1"/>
  <c r="I23" i="1"/>
  <c r="J23" i="1"/>
  <c r="K23" i="1"/>
  <c r="H5" i="1"/>
  <c r="H6" i="1"/>
  <c r="M6" i="1" s="1"/>
  <c r="H7" i="1"/>
  <c r="M7" i="1" s="1"/>
  <c r="H8" i="1"/>
  <c r="H9" i="1"/>
  <c r="H10" i="1"/>
  <c r="M10" i="1" s="1"/>
  <c r="H11" i="1"/>
  <c r="M11" i="1" s="1"/>
  <c r="H12" i="1"/>
  <c r="M12" i="1" s="1"/>
  <c r="H13" i="1"/>
  <c r="H14" i="1"/>
  <c r="M14" i="1" s="1"/>
  <c r="H15" i="1"/>
  <c r="M15" i="1" s="1"/>
  <c r="H16" i="1"/>
  <c r="H17" i="1"/>
  <c r="H18" i="1"/>
  <c r="M18" i="1" s="1"/>
  <c r="H19" i="1"/>
  <c r="M19" i="1" s="1"/>
  <c r="H20" i="1"/>
  <c r="M20" i="1" s="1"/>
  <c r="H21" i="1"/>
  <c r="H22" i="1"/>
  <c r="M22" i="1" s="1"/>
  <c r="H23" i="1"/>
  <c r="M23" i="1" s="1"/>
  <c r="H4" i="1"/>
  <c r="H27" i="1" s="1"/>
  <c r="K26" i="1" l="1"/>
  <c r="J26" i="1"/>
  <c r="M4" i="1"/>
  <c r="H25" i="1"/>
  <c r="I26" i="1"/>
  <c r="I27" i="1"/>
  <c r="H26" i="1"/>
  <c r="K25" i="1"/>
</calcChain>
</file>

<file path=xl/sharedStrings.xml><?xml version="1.0" encoding="utf-8"?>
<sst xmlns="http://schemas.openxmlformats.org/spreadsheetml/2006/main" count="56" uniqueCount="52">
  <si>
    <t>Gradebook</t>
  </si>
  <si>
    <t>Last Name</t>
  </si>
  <si>
    <t>First Name</t>
  </si>
  <si>
    <t>Sharma</t>
  </si>
  <si>
    <t>Amit</t>
  </si>
  <si>
    <t>Patel</t>
  </si>
  <si>
    <t>Neha</t>
  </si>
  <si>
    <t>Kumar</t>
  </si>
  <si>
    <t>Rahul</t>
  </si>
  <si>
    <t>Singh</t>
  </si>
  <si>
    <t>Priya</t>
  </si>
  <si>
    <t>Reddy</t>
  </si>
  <si>
    <t>Kiran</t>
  </si>
  <si>
    <t>Verma</t>
  </si>
  <si>
    <t>Anjali</t>
  </si>
  <si>
    <t>Gupta</t>
  </si>
  <si>
    <t>Mohit</t>
  </si>
  <si>
    <t>Joshi</t>
  </si>
  <si>
    <t>Sneha</t>
  </si>
  <si>
    <t>Nair</t>
  </si>
  <si>
    <t>Arjun</t>
  </si>
  <si>
    <t>Das</t>
  </si>
  <si>
    <t>Pooja</t>
  </si>
  <si>
    <t>Mehta</t>
  </si>
  <si>
    <t>Rohan</t>
  </si>
  <si>
    <t>Iyer</t>
  </si>
  <si>
    <t>Kavya</t>
  </si>
  <si>
    <t>Rao</t>
  </si>
  <si>
    <t>Vivek</t>
  </si>
  <si>
    <t>Choudhary</t>
  </si>
  <si>
    <t>Nisha</t>
  </si>
  <si>
    <t>Mishra</t>
  </si>
  <si>
    <t>Deepak</t>
  </si>
  <si>
    <t>Yadav</t>
  </si>
  <si>
    <t>Asha</t>
  </si>
  <si>
    <t>Jain</t>
  </si>
  <si>
    <t>Suresh</t>
  </si>
  <si>
    <t>Agarwal</t>
  </si>
  <si>
    <t>Ritu</t>
  </si>
  <si>
    <t>Kulkarni</t>
  </si>
  <si>
    <t>Manish</t>
  </si>
  <si>
    <t>Shetty</t>
  </si>
  <si>
    <t>Divya</t>
  </si>
  <si>
    <t>Safety Test</t>
  </si>
  <si>
    <t>Drug Test</t>
  </si>
  <si>
    <t>Finacial Skill Test</t>
  </si>
  <si>
    <t>Company Philosophy Test</t>
  </si>
  <si>
    <t>Points Possible</t>
  </si>
  <si>
    <t>Fire Employee?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</si>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</sst>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56517935258096E-2"/>
          <c:y val="0.15319444444444447"/>
          <c:w val="0.90297462817147855"/>
          <c:h val="0.60695866141732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Sharma</c:v>
                </c:pt>
                <c:pt idx="1">
                  <c:v>Patel</c:v>
                </c:pt>
                <c:pt idx="2">
                  <c:v>Kumar</c:v>
                </c:pt>
                <c:pt idx="3">
                  <c:v>Singh</c:v>
                </c:pt>
                <c:pt idx="4">
                  <c:v>Reddy</c:v>
                </c:pt>
                <c:pt idx="5">
                  <c:v>Verma</c:v>
                </c:pt>
                <c:pt idx="6">
                  <c:v>Gupta</c:v>
                </c:pt>
                <c:pt idx="7">
                  <c:v>Joshi</c:v>
                </c:pt>
                <c:pt idx="8">
                  <c:v>Nair</c:v>
                </c:pt>
                <c:pt idx="9">
                  <c:v>Das</c:v>
                </c:pt>
                <c:pt idx="10">
                  <c:v>Mehta</c:v>
                </c:pt>
                <c:pt idx="11">
                  <c:v>Iyer</c:v>
                </c:pt>
                <c:pt idx="12">
                  <c:v>Rao</c:v>
                </c:pt>
                <c:pt idx="13">
                  <c:v>Choudhary</c:v>
                </c:pt>
                <c:pt idx="14">
                  <c:v>Mishra</c:v>
                </c:pt>
                <c:pt idx="15">
                  <c:v>Yadav</c:v>
                </c:pt>
                <c:pt idx="16">
                  <c:v>Jain</c:v>
                </c:pt>
                <c:pt idx="17">
                  <c:v>Agarwal</c:v>
                </c:pt>
                <c:pt idx="18">
                  <c:v>Kulkarni</c:v>
                </c:pt>
                <c:pt idx="19">
                  <c:v>Shetty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9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A-4C91-A16D-01610DDE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26143"/>
        <c:axId val="948624703"/>
      </c:barChart>
      <c:catAx>
        <c:axId val="94862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24703"/>
        <c:crosses val="autoZero"/>
        <c:auto val="1"/>
        <c:lblAlgn val="ctr"/>
        <c:lblOffset val="100"/>
        <c:noMultiLvlLbl val="0"/>
      </c:catAx>
      <c:valAx>
        <c:axId val="9486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2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Philisophy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33070866141738E-2"/>
          <c:y val="0.15782407407407409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Sharma</c:v>
                </c:pt>
                <c:pt idx="1">
                  <c:v>Patel</c:v>
                </c:pt>
                <c:pt idx="2">
                  <c:v>Kumar</c:v>
                </c:pt>
                <c:pt idx="3">
                  <c:v>Singh</c:v>
                </c:pt>
                <c:pt idx="4">
                  <c:v>Reddy</c:v>
                </c:pt>
                <c:pt idx="5">
                  <c:v>Verma</c:v>
                </c:pt>
                <c:pt idx="6">
                  <c:v>Gupta</c:v>
                </c:pt>
                <c:pt idx="7">
                  <c:v>Joshi</c:v>
                </c:pt>
                <c:pt idx="8">
                  <c:v>Nair</c:v>
                </c:pt>
                <c:pt idx="9">
                  <c:v>Das</c:v>
                </c:pt>
                <c:pt idx="10">
                  <c:v>Mehta</c:v>
                </c:pt>
                <c:pt idx="11">
                  <c:v>Iyer</c:v>
                </c:pt>
                <c:pt idx="12">
                  <c:v>Rao</c:v>
                </c:pt>
                <c:pt idx="13">
                  <c:v>Choudhary</c:v>
                </c:pt>
                <c:pt idx="14">
                  <c:v>Mishra</c:v>
                </c:pt>
                <c:pt idx="15">
                  <c:v>Yadav</c:v>
                </c:pt>
                <c:pt idx="16">
                  <c:v>Jain</c:v>
                </c:pt>
                <c:pt idx="17">
                  <c:v>Agarwal</c:v>
                </c:pt>
                <c:pt idx="18">
                  <c:v>Kulkarni</c:v>
                </c:pt>
                <c:pt idx="19">
                  <c:v>Shetty</c:v>
                </c:pt>
              </c:strCache>
            </c:strRef>
          </c:cat>
          <c:val>
            <c:numRef>
              <c:f>Sheet1!$D$4:$D$23</c:f>
              <c:numCache>
                <c:formatCode>General</c:formatCode>
                <c:ptCount val="20"/>
                <c:pt idx="0">
                  <c:v>11</c:v>
                </c:pt>
                <c:pt idx="1">
                  <c:v>19</c:v>
                </c:pt>
                <c:pt idx="2">
                  <c:v>16</c:v>
                </c:pt>
                <c:pt idx="3">
                  <c:v>18</c:v>
                </c:pt>
                <c:pt idx="4">
                  <c:v>15</c:v>
                </c:pt>
                <c:pt idx="5">
                  <c:v>18</c:v>
                </c:pt>
                <c:pt idx="6">
                  <c:v>19</c:v>
                </c:pt>
                <c:pt idx="7">
                  <c:v>17</c:v>
                </c:pt>
                <c:pt idx="8">
                  <c:v>20</c:v>
                </c:pt>
                <c:pt idx="9">
                  <c:v>19</c:v>
                </c:pt>
                <c:pt idx="10">
                  <c:v>18</c:v>
                </c:pt>
                <c:pt idx="11">
                  <c:v>16</c:v>
                </c:pt>
                <c:pt idx="12">
                  <c:v>15</c:v>
                </c:pt>
                <c:pt idx="13">
                  <c:v>17</c:v>
                </c:pt>
                <c:pt idx="14">
                  <c:v>20</c:v>
                </c:pt>
                <c:pt idx="15">
                  <c:v>19</c:v>
                </c:pt>
                <c:pt idx="16">
                  <c:v>18</c:v>
                </c:pt>
                <c:pt idx="17">
                  <c:v>19</c:v>
                </c:pt>
                <c:pt idx="18">
                  <c:v>17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5-412A-9A66-511B9C60C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53023"/>
        <c:axId val="948654943"/>
      </c:barChart>
      <c:catAx>
        <c:axId val="94865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54943"/>
        <c:crosses val="autoZero"/>
        <c:auto val="1"/>
        <c:lblAlgn val="ctr"/>
        <c:lblOffset val="100"/>
        <c:noMultiLvlLbl val="0"/>
      </c:catAx>
      <c:valAx>
        <c:axId val="94865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5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Sharma</c:v>
                </c:pt>
                <c:pt idx="1">
                  <c:v>Patel</c:v>
                </c:pt>
                <c:pt idx="2">
                  <c:v>Kumar</c:v>
                </c:pt>
                <c:pt idx="3">
                  <c:v>Singh</c:v>
                </c:pt>
                <c:pt idx="4">
                  <c:v>Reddy</c:v>
                </c:pt>
                <c:pt idx="5">
                  <c:v>Verma</c:v>
                </c:pt>
                <c:pt idx="6">
                  <c:v>Gupta</c:v>
                </c:pt>
                <c:pt idx="7">
                  <c:v>Joshi</c:v>
                </c:pt>
                <c:pt idx="8">
                  <c:v>Nair</c:v>
                </c:pt>
                <c:pt idx="9">
                  <c:v>Das</c:v>
                </c:pt>
                <c:pt idx="10">
                  <c:v>Mehta</c:v>
                </c:pt>
                <c:pt idx="11">
                  <c:v>Iyer</c:v>
                </c:pt>
                <c:pt idx="12">
                  <c:v>Rao</c:v>
                </c:pt>
                <c:pt idx="13">
                  <c:v>Choudhary</c:v>
                </c:pt>
                <c:pt idx="14">
                  <c:v>Mishra</c:v>
                </c:pt>
                <c:pt idx="15">
                  <c:v>Yadav</c:v>
                </c:pt>
                <c:pt idx="16">
                  <c:v>Jain</c:v>
                </c:pt>
                <c:pt idx="17">
                  <c:v>Agarwal</c:v>
                </c:pt>
                <c:pt idx="18">
                  <c:v>Kulkarni</c:v>
                </c:pt>
                <c:pt idx="19">
                  <c:v>Shetty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99</c:v>
                </c:pt>
                <c:pt idx="1">
                  <c:v>91</c:v>
                </c:pt>
                <c:pt idx="2">
                  <c:v>100</c:v>
                </c:pt>
                <c:pt idx="3">
                  <c:v>89</c:v>
                </c:pt>
                <c:pt idx="4">
                  <c:v>95</c:v>
                </c:pt>
                <c:pt idx="5">
                  <c:v>65</c:v>
                </c:pt>
                <c:pt idx="6">
                  <c:v>67</c:v>
                </c:pt>
                <c:pt idx="7">
                  <c:v>84</c:v>
                </c:pt>
                <c:pt idx="8">
                  <c:v>68</c:v>
                </c:pt>
                <c:pt idx="9">
                  <c:v>95</c:v>
                </c:pt>
                <c:pt idx="10">
                  <c:v>96</c:v>
                </c:pt>
                <c:pt idx="11">
                  <c:v>89</c:v>
                </c:pt>
                <c:pt idx="12">
                  <c:v>98</c:v>
                </c:pt>
                <c:pt idx="13">
                  <c:v>71</c:v>
                </c:pt>
                <c:pt idx="14">
                  <c:v>59</c:v>
                </c:pt>
                <c:pt idx="15">
                  <c:v>99</c:v>
                </c:pt>
                <c:pt idx="16">
                  <c:v>100</c:v>
                </c:pt>
                <c:pt idx="17">
                  <c:v>90</c:v>
                </c:pt>
                <c:pt idx="18">
                  <c:v>67</c:v>
                </c:pt>
                <c:pt idx="1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439C-B926-2A423ECC7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52063"/>
        <c:axId val="948657343"/>
      </c:barChart>
      <c:catAx>
        <c:axId val="94865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57343"/>
        <c:crosses val="autoZero"/>
        <c:auto val="1"/>
        <c:lblAlgn val="ctr"/>
        <c:lblOffset val="100"/>
        <c:noMultiLvlLbl val="0"/>
      </c:catAx>
      <c:valAx>
        <c:axId val="9486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5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Sharma</c:v>
                </c:pt>
                <c:pt idx="1">
                  <c:v>Patel</c:v>
                </c:pt>
                <c:pt idx="2">
                  <c:v>Kumar</c:v>
                </c:pt>
                <c:pt idx="3">
                  <c:v>Singh</c:v>
                </c:pt>
                <c:pt idx="4">
                  <c:v>Reddy</c:v>
                </c:pt>
                <c:pt idx="5">
                  <c:v>Verma</c:v>
                </c:pt>
                <c:pt idx="6">
                  <c:v>Gupta</c:v>
                </c:pt>
                <c:pt idx="7">
                  <c:v>Joshi</c:v>
                </c:pt>
                <c:pt idx="8">
                  <c:v>Nair</c:v>
                </c:pt>
                <c:pt idx="9">
                  <c:v>Das</c:v>
                </c:pt>
                <c:pt idx="10">
                  <c:v>Mehta</c:v>
                </c:pt>
                <c:pt idx="11">
                  <c:v>Iyer</c:v>
                </c:pt>
                <c:pt idx="12">
                  <c:v>Rao</c:v>
                </c:pt>
                <c:pt idx="13">
                  <c:v>Choudhary</c:v>
                </c:pt>
                <c:pt idx="14">
                  <c:v>Mishra</c:v>
                </c:pt>
                <c:pt idx="15">
                  <c:v>Yadav</c:v>
                </c:pt>
                <c:pt idx="16">
                  <c:v>Jain</c:v>
                </c:pt>
                <c:pt idx="17">
                  <c:v>Agarwal</c:v>
                </c:pt>
                <c:pt idx="18">
                  <c:v>Kulkarni</c:v>
                </c:pt>
                <c:pt idx="19">
                  <c:v>Shetty</c:v>
                </c:pt>
              </c:strCache>
            </c:strRef>
          </c:cat>
          <c:val>
            <c:numRef>
              <c:f>Sheet1!$F$4:$F$23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D-44A2-8508-6DDFF3BA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65503"/>
        <c:axId val="948665983"/>
      </c:barChart>
      <c:catAx>
        <c:axId val="9486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65983"/>
        <c:crosses val="autoZero"/>
        <c:auto val="1"/>
        <c:lblAlgn val="ctr"/>
        <c:lblOffset val="100"/>
        <c:noMultiLvlLbl val="0"/>
      </c:catAx>
      <c:valAx>
        <c:axId val="9486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6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449580</xdr:colOff>
      <xdr:row>2</xdr:row>
      <xdr:rowOff>53340</xdr:rowOff>
    </xdr:from>
    <xdr:to>
      <xdr:col>18</xdr:col>
      <xdr:colOff>167640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EA4AF-D39A-FCEF-D293-0B5CDAAA1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464820</xdr:colOff>
      <xdr:row>17</xdr:row>
      <xdr:rowOff>91440</xdr:rowOff>
    </xdr:from>
    <xdr:to>
      <xdr:col>18</xdr:col>
      <xdr:colOff>175260</xdr:colOff>
      <xdr:row>28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6A315-4AF3-2B69-74E0-16829BF2E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472440</xdr:colOff>
      <xdr:row>29</xdr:row>
      <xdr:rowOff>118110</xdr:rowOff>
    </xdr:from>
    <xdr:to>
      <xdr:col>18</xdr:col>
      <xdr:colOff>228600</xdr:colOff>
      <xdr:row>41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449267-06BB-F21A-1278-B1C2011C5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320040</xdr:colOff>
      <xdr:row>2</xdr:row>
      <xdr:rowOff>95250</xdr:rowOff>
    </xdr:from>
    <xdr:to>
      <xdr:col>23</xdr:col>
      <xdr:colOff>373380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141692-DEC1-5299-A9EA-09EFEF914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4CE6-06DE-4E28-B1C5-7C40C0728611}">
  <sheetPr>
    <pageSetUpPr fitToPage="1"/>
  </sheetPr>
  <dimension ref="A1:M27"/>
  <sheetViews>
    <sheetView tabSelected="1" workbookViewId="0">
      <selection activeCell="U28" sqref="U28"/>
    </sheetView>
  </sheetViews>
  <sheetFormatPr defaultRowHeight="14.4" x14ac:dyDescent="0.3"/>
  <cols>
    <col min="1" max="1" width="11.77734375" customWidth="1"/>
    <col min="2" max="2" width="11.21875" customWidth="1"/>
  </cols>
  <sheetData>
    <row r="1" spans="1:13" ht="116.4" x14ac:dyDescent="0.3">
      <c r="A1" t="s">
        <v>0</v>
      </c>
      <c r="C1" s="1" t="s">
        <v>43</v>
      </c>
      <c r="D1" s="1" t="s">
        <v>46</v>
      </c>
      <c r="E1" s="1" t="s">
        <v>45</v>
      </c>
      <c r="F1" s="1" t="s">
        <v>44</v>
      </c>
      <c r="H1" s="1" t="s">
        <v>43</v>
      </c>
      <c r="I1" s="1" t="s">
        <v>46</v>
      </c>
      <c r="J1" s="1" t="s">
        <v>45</v>
      </c>
      <c r="K1" s="1" t="s">
        <v>44</v>
      </c>
      <c r="M1" s="1" t="s">
        <v>48</v>
      </c>
    </row>
    <row r="2" spans="1:13" x14ac:dyDescent="0.3">
      <c r="B2" t="s">
        <v>47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4</v>
      </c>
      <c r="C4">
        <v>9</v>
      </c>
      <c r="D4">
        <v>11</v>
      </c>
      <c r="E4">
        <v>99</v>
      </c>
      <c r="F4">
        <v>1</v>
      </c>
      <c r="H4" s="2">
        <f>C4/C$2</f>
        <v>0.9</v>
      </c>
      <c r="I4" s="2">
        <f t="shared" ref="I4:K19" si="0">D4/D$2</f>
        <v>0.55000000000000004</v>
      </c>
      <c r="J4" s="2">
        <f t="shared" si="0"/>
        <v>0.99</v>
      </c>
      <c r="K4" s="2">
        <f t="shared" si="0"/>
        <v>1</v>
      </c>
      <c r="M4" s="2" t="b">
        <f>OR(H4&lt;0.5,I4&lt;0.5,J4&lt;0.5,K4&lt;0.5)</f>
        <v>0</v>
      </c>
    </row>
    <row r="5" spans="1:13" x14ac:dyDescent="0.3">
      <c r="A5" t="s">
        <v>5</v>
      </c>
      <c r="B5" t="s">
        <v>6</v>
      </c>
      <c r="C5">
        <v>10</v>
      </c>
      <c r="D5">
        <v>19</v>
      </c>
      <c r="E5">
        <v>91</v>
      </c>
      <c r="F5">
        <v>1</v>
      </c>
      <c r="H5" s="2">
        <f t="shared" ref="H5:H23" si="1">C5/C$2</f>
        <v>1</v>
      </c>
      <c r="I5" s="2">
        <f t="shared" si="0"/>
        <v>0.95</v>
      </c>
      <c r="J5" s="2">
        <f t="shared" si="0"/>
        <v>0.91</v>
      </c>
      <c r="K5" s="2">
        <f t="shared" si="0"/>
        <v>1</v>
      </c>
      <c r="M5" s="2" t="b">
        <f t="shared" ref="M5:M23" si="2">OR(H5&lt;0.5,I5&lt;0.5,J5&lt;0.5,K5&lt;0.5)</f>
        <v>0</v>
      </c>
    </row>
    <row r="6" spans="1:13" x14ac:dyDescent="0.3">
      <c r="A6" t="s">
        <v>7</v>
      </c>
      <c r="B6" t="s">
        <v>8</v>
      </c>
      <c r="C6">
        <v>8</v>
      </c>
      <c r="D6">
        <v>16</v>
      </c>
      <c r="E6">
        <v>100</v>
      </c>
      <c r="F6">
        <v>1</v>
      </c>
      <c r="H6" s="2">
        <f t="shared" si="1"/>
        <v>0.8</v>
      </c>
      <c r="I6" s="2">
        <f t="shared" si="0"/>
        <v>0.8</v>
      </c>
      <c r="J6" s="2">
        <f t="shared" si="0"/>
        <v>1</v>
      </c>
      <c r="K6" s="2">
        <f t="shared" si="0"/>
        <v>1</v>
      </c>
      <c r="M6" s="2" t="b">
        <f t="shared" si="2"/>
        <v>0</v>
      </c>
    </row>
    <row r="7" spans="1:13" x14ac:dyDescent="0.3">
      <c r="A7" t="s">
        <v>9</v>
      </c>
      <c r="B7" t="s">
        <v>10</v>
      </c>
      <c r="C7">
        <v>7</v>
      </c>
      <c r="D7">
        <v>18</v>
      </c>
      <c r="E7">
        <v>89</v>
      </c>
      <c r="F7">
        <v>0</v>
      </c>
      <c r="H7" s="2">
        <f t="shared" si="1"/>
        <v>0.7</v>
      </c>
      <c r="I7" s="2">
        <f t="shared" si="0"/>
        <v>0.9</v>
      </c>
      <c r="J7" s="2">
        <f t="shared" si="0"/>
        <v>0.89</v>
      </c>
      <c r="K7" s="2">
        <f t="shared" si="0"/>
        <v>0</v>
      </c>
      <c r="M7" s="2" t="b">
        <f t="shared" si="2"/>
        <v>1</v>
      </c>
    </row>
    <row r="8" spans="1:13" x14ac:dyDescent="0.3">
      <c r="A8" t="s">
        <v>11</v>
      </c>
      <c r="B8" t="s">
        <v>12</v>
      </c>
      <c r="C8">
        <v>5</v>
      </c>
      <c r="D8">
        <v>15</v>
      </c>
      <c r="E8">
        <v>95</v>
      </c>
      <c r="F8">
        <v>1</v>
      </c>
      <c r="H8" s="2">
        <f t="shared" si="1"/>
        <v>0.5</v>
      </c>
      <c r="I8" s="2">
        <f t="shared" si="0"/>
        <v>0.75</v>
      </c>
      <c r="J8" s="2">
        <f t="shared" si="0"/>
        <v>0.95</v>
      </c>
      <c r="K8" s="2">
        <f t="shared" si="0"/>
        <v>1</v>
      </c>
      <c r="M8" s="2" t="b">
        <f t="shared" si="2"/>
        <v>0</v>
      </c>
    </row>
    <row r="9" spans="1:13" x14ac:dyDescent="0.3">
      <c r="A9" t="s">
        <v>13</v>
      </c>
      <c r="B9" t="s">
        <v>14</v>
      </c>
      <c r="C9">
        <v>9</v>
      </c>
      <c r="D9">
        <v>18</v>
      </c>
      <c r="E9">
        <v>65</v>
      </c>
      <c r="F9">
        <v>1</v>
      </c>
      <c r="H9" s="2">
        <f t="shared" si="1"/>
        <v>0.9</v>
      </c>
      <c r="I9" s="2">
        <f t="shared" si="0"/>
        <v>0.9</v>
      </c>
      <c r="J9" s="2">
        <f t="shared" si="0"/>
        <v>0.65</v>
      </c>
      <c r="K9" s="2">
        <f t="shared" si="0"/>
        <v>1</v>
      </c>
      <c r="M9" s="2" t="b">
        <f t="shared" si="2"/>
        <v>0</v>
      </c>
    </row>
    <row r="10" spans="1:13" x14ac:dyDescent="0.3">
      <c r="A10" t="s">
        <v>15</v>
      </c>
      <c r="B10" t="s">
        <v>16</v>
      </c>
      <c r="C10">
        <v>8</v>
      </c>
      <c r="D10">
        <v>19</v>
      </c>
      <c r="E10">
        <v>67</v>
      </c>
      <c r="F10">
        <v>1</v>
      </c>
      <c r="H10" s="2">
        <f t="shared" si="1"/>
        <v>0.8</v>
      </c>
      <c r="I10" s="2">
        <f t="shared" si="0"/>
        <v>0.95</v>
      </c>
      <c r="J10" s="2">
        <f t="shared" si="0"/>
        <v>0.67</v>
      </c>
      <c r="K10" s="2">
        <f t="shared" si="0"/>
        <v>1</v>
      </c>
      <c r="M10" s="2" t="b">
        <f t="shared" si="2"/>
        <v>0</v>
      </c>
    </row>
    <row r="11" spans="1:13" x14ac:dyDescent="0.3">
      <c r="A11" t="s">
        <v>17</v>
      </c>
      <c r="B11" t="s">
        <v>18</v>
      </c>
      <c r="C11">
        <v>6</v>
      </c>
      <c r="D11">
        <v>17</v>
      </c>
      <c r="E11">
        <v>84</v>
      </c>
      <c r="F11">
        <v>1</v>
      </c>
      <c r="H11" s="2">
        <f t="shared" si="1"/>
        <v>0.6</v>
      </c>
      <c r="I11" s="2">
        <f t="shared" si="0"/>
        <v>0.85</v>
      </c>
      <c r="J11" s="2">
        <f t="shared" si="0"/>
        <v>0.84</v>
      </c>
      <c r="K11" s="2">
        <f t="shared" si="0"/>
        <v>1</v>
      </c>
      <c r="M11" s="2" t="b">
        <f t="shared" si="2"/>
        <v>0</v>
      </c>
    </row>
    <row r="12" spans="1:13" x14ac:dyDescent="0.3">
      <c r="A12" t="s">
        <v>19</v>
      </c>
      <c r="B12" t="s">
        <v>20</v>
      </c>
      <c r="C12">
        <v>7</v>
      </c>
      <c r="D12">
        <v>20</v>
      </c>
      <c r="E12">
        <v>68</v>
      </c>
      <c r="F12">
        <v>0</v>
      </c>
      <c r="H12" s="2">
        <f t="shared" si="1"/>
        <v>0.7</v>
      </c>
      <c r="I12" s="2">
        <f t="shared" si="0"/>
        <v>1</v>
      </c>
      <c r="J12" s="2">
        <f t="shared" si="0"/>
        <v>0.68</v>
      </c>
      <c r="K12" s="2">
        <f t="shared" si="0"/>
        <v>0</v>
      </c>
      <c r="M12" s="2" t="b">
        <f t="shared" si="2"/>
        <v>1</v>
      </c>
    </row>
    <row r="13" spans="1:13" x14ac:dyDescent="0.3">
      <c r="A13" t="s">
        <v>21</v>
      </c>
      <c r="B13" t="s">
        <v>22</v>
      </c>
      <c r="C13">
        <v>4</v>
      </c>
      <c r="D13">
        <v>19</v>
      </c>
      <c r="E13">
        <v>95</v>
      </c>
      <c r="F13">
        <v>1</v>
      </c>
      <c r="H13" s="2">
        <f t="shared" si="1"/>
        <v>0.4</v>
      </c>
      <c r="I13" s="2">
        <f t="shared" si="0"/>
        <v>0.95</v>
      </c>
      <c r="J13" s="2">
        <f t="shared" si="0"/>
        <v>0.95</v>
      </c>
      <c r="K13" s="2">
        <f t="shared" si="0"/>
        <v>1</v>
      </c>
      <c r="M13" s="2" t="b">
        <f t="shared" si="2"/>
        <v>1</v>
      </c>
    </row>
    <row r="14" spans="1:13" x14ac:dyDescent="0.3">
      <c r="A14" t="s">
        <v>23</v>
      </c>
      <c r="B14" t="s">
        <v>24</v>
      </c>
      <c r="C14">
        <v>9</v>
      </c>
      <c r="D14">
        <v>18</v>
      </c>
      <c r="E14">
        <v>96</v>
      </c>
      <c r="F14">
        <v>1</v>
      </c>
      <c r="H14" s="2">
        <f t="shared" si="1"/>
        <v>0.9</v>
      </c>
      <c r="I14" s="2">
        <f t="shared" si="0"/>
        <v>0.9</v>
      </c>
      <c r="J14" s="2">
        <f t="shared" si="0"/>
        <v>0.96</v>
      </c>
      <c r="K14" s="2">
        <f t="shared" si="0"/>
        <v>1</v>
      </c>
      <c r="M14" s="2" t="b">
        <f t="shared" si="2"/>
        <v>0</v>
      </c>
    </row>
    <row r="15" spans="1:13" x14ac:dyDescent="0.3">
      <c r="A15" t="s">
        <v>25</v>
      </c>
      <c r="B15" t="s">
        <v>26</v>
      </c>
      <c r="C15">
        <v>10</v>
      </c>
      <c r="D15">
        <v>16</v>
      </c>
      <c r="E15">
        <v>89</v>
      </c>
      <c r="F15">
        <v>1</v>
      </c>
      <c r="H15" s="2">
        <f t="shared" si="1"/>
        <v>1</v>
      </c>
      <c r="I15" s="2">
        <f t="shared" si="0"/>
        <v>0.8</v>
      </c>
      <c r="J15" s="2">
        <f t="shared" si="0"/>
        <v>0.89</v>
      </c>
      <c r="K15" s="2">
        <f t="shared" si="0"/>
        <v>1</v>
      </c>
      <c r="M15" s="2" t="b">
        <f t="shared" si="2"/>
        <v>0</v>
      </c>
    </row>
    <row r="16" spans="1:13" x14ac:dyDescent="0.3">
      <c r="A16" t="s">
        <v>27</v>
      </c>
      <c r="B16" t="s">
        <v>28</v>
      </c>
      <c r="C16">
        <v>8</v>
      </c>
      <c r="D16">
        <v>15</v>
      </c>
      <c r="E16">
        <v>98</v>
      </c>
      <c r="F16">
        <v>1</v>
      </c>
      <c r="H16" s="2">
        <f t="shared" si="1"/>
        <v>0.8</v>
      </c>
      <c r="I16" s="2">
        <f t="shared" si="0"/>
        <v>0.75</v>
      </c>
      <c r="J16" s="2">
        <f t="shared" si="0"/>
        <v>0.98</v>
      </c>
      <c r="K16" s="2">
        <f t="shared" si="0"/>
        <v>1</v>
      </c>
      <c r="M16" s="2" t="b">
        <f t="shared" si="2"/>
        <v>0</v>
      </c>
    </row>
    <row r="17" spans="1:13" x14ac:dyDescent="0.3">
      <c r="A17" t="s">
        <v>29</v>
      </c>
      <c r="B17" t="s">
        <v>30</v>
      </c>
      <c r="C17">
        <v>9</v>
      </c>
      <c r="D17">
        <v>17</v>
      </c>
      <c r="E17">
        <v>71</v>
      </c>
      <c r="F17">
        <v>0</v>
      </c>
      <c r="H17" s="2">
        <f t="shared" si="1"/>
        <v>0.9</v>
      </c>
      <c r="I17" s="2">
        <f t="shared" si="0"/>
        <v>0.85</v>
      </c>
      <c r="J17" s="2">
        <f t="shared" si="0"/>
        <v>0.71</v>
      </c>
      <c r="K17" s="2">
        <f t="shared" si="0"/>
        <v>0</v>
      </c>
      <c r="M17" s="2" t="b">
        <f t="shared" si="2"/>
        <v>1</v>
      </c>
    </row>
    <row r="18" spans="1:13" x14ac:dyDescent="0.3">
      <c r="A18" t="s">
        <v>31</v>
      </c>
      <c r="B18" t="s">
        <v>32</v>
      </c>
      <c r="C18">
        <v>7</v>
      </c>
      <c r="D18">
        <v>20</v>
      </c>
      <c r="E18">
        <v>59</v>
      </c>
      <c r="F18">
        <v>1</v>
      </c>
      <c r="H18" s="2">
        <f t="shared" si="1"/>
        <v>0.7</v>
      </c>
      <c r="I18" s="2">
        <f t="shared" si="0"/>
        <v>1</v>
      </c>
      <c r="J18" s="2">
        <f t="shared" si="0"/>
        <v>0.59</v>
      </c>
      <c r="K18" s="2">
        <f t="shared" si="0"/>
        <v>1</v>
      </c>
      <c r="M18" s="2" t="b">
        <f t="shared" si="2"/>
        <v>0</v>
      </c>
    </row>
    <row r="19" spans="1:13" x14ac:dyDescent="0.3">
      <c r="A19" t="s">
        <v>33</v>
      </c>
      <c r="B19" t="s">
        <v>34</v>
      </c>
      <c r="C19">
        <v>5</v>
      </c>
      <c r="D19">
        <v>19</v>
      </c>
      <c r="E19">
        <v>99</v>
      </c>
      <c r="F19">
        <v>1</v>
      </c>
      <c r="H19" s="2">
        <f t="shared" si="1"/>
        <v>0.5</v>
      </c>
      <c r="I19" s="2">
        <f t="shared" si="0"/>
        <v>0.95</v>
      </c>
      <c r="J19" s="2">
        <f t="shared" si="0"/>
        <v>0.99</v>
      </c>
      <c r="K19" s="2">
        <f t="shared" si="0"/>
        <v>1</v>
      </c>
      <c r="M19" s="2" t="b">
        <f t="shared" si="2"/>
        <v>0</v>
      </c>
    </row>
    <row r="20" spans="1:13" x14ac:dyDescent="0.3">
      <c r="A20" t="s">
        <v>35</v>
      </c>
      <c r="B20" t="s">
        <v>36</v>
      </c>
      <c r="C20">
        <v>7</v>
      </c>
      <c r="D20">
        <v>18</v>
      </c>
      <c r="E20">
        <v>100</v>
      </c>
      <c r="F20">
        <v>1</v>
      </c>
      <c r="H20" s="2">
        <f t="shared" si="1"/>
        <v>0.7</v>
      </c>
      <c r="I20" s="2">
        <f t="shared" ref="I20:I23" si="3">D20/D$2</f>
        <v>0.9</v>
      </c>
      <c r="J20" s="2">
        <f t="shared" ref="J20:J23" si="4">E20/E$2</f>
        <v>1</v>
      </c>
      <c r="K20" s="2">
        <f t="shared" ref="K20:K23" si="5">F20/F$2</f>
        <v>1</v>
      </c>
      <c r="M20" s="2" t="b">
        <f t="shared" si="2"/>
        <v>0</v>
      </c>
    </row>
    <row r="21" spans="1:13" x14ac:dyDescent="0.3">
      <c r="A21" t="s">
        <v>37</v>
      </c>
      <c r="B21" t="s">
        <v>38</v>
      </c>
      <c r="C21">
        <v>8</v>
      </c>
      <c r="D21">
        <v>19</v>
      </c>
      <c r="E21">
        <v>90</v>
      </c>
      <c r="F21">
        <v>1</v>
      </c>
      <c r="H21" s="2">
        <f t="shared" si="1"/>
        <v>0.8</v>
      </c>
      <c r="I21" s="2">
        <f t="shared" si="3"/>
        <v>0.95</v>
      </c>
      <c r="J21" s="2">
        <f t="shared" si="4"/>
        <v>0.9</v>
      </c>
      <c r="K21" s="2">
        <f t="shared" si="5"/>
        <v>1</v>
      </c>
      <c r="M21" s="2" t="b">
        <f t="shared" si="2"/>
        <v>0</v>
      </c>
    </row>
    <row r="22" spans="1:13" x14ac:dyDescent="0.3">
      <c r="A22" t="s">
        <v>39</v>
      </c>
      <c r="B22" t="s">
        <v>40</v>
      </c>
      <c r="C22">
        <v>8</v>
      </c>
      <c r="D22">
        <v>17</v>
      </c>
      <c r="E22">
        <v>67</v>
      </c>
      <c r="F22">
        <v>1</v>
      </c>
      <c r="H22" s="2">
        <f t="shared" si="1"/>
        <v>0.8</v>
      </c>
      <c r="I22" s="2">
        <f t="shared" si="3"/>
        <v>0.85</v>
      </c>
      <c r="J22" s="2">
        <f t="shared" si="4"/>
        <v>0.67</v>
      </c>
      <c r="K22" s="2">
        <f t="shared" si="5"/>
        <v>1</v>
      </c>
      <c r="M22" s="2" t="b">
        <f t="shared" si="2"/>
        <v>0</v>
      </c>
    </row>
    <row r="23" spans="1:13" x14ac:dyDescent="0.3">
      <c r="A23" t="s">
        <v>41</v>
      </c>
      <c r="B23" t="s">
        <v>42</v>
      </c>
      <c r="C23">
        <v>7</v>
      </c>
      <c r="D23">
        <v>14</v>
      </c>
      <c r="E23">
        <v>83</v>
      </c>
      <c r="F23">
        <v>0</v>
      </c>
      <c r="H23" s="2">
        <f t="shared" si="1"/>
        <v>0.7</v>
      </c>
      <c r="I23" s="2">
        <f t="shared" si="3"/>
        <v>0.7</v>
      </c>
      <c r="J23" s="2">
        <f t="shared" si="4"/>
        <v>0.83</v>
      </c>
      <c r="K23" s="2">
        <f t="shared" si="5"/>
        <v>0</v>
      </c>
      <c r="M23" s="2" t="b">
        <f t="shared" si="2"/>
        <v>1</v>
      </c>
    </row>
    <row r="25" spans="1:13" x14ac:dyDescent="0.3">
      <c r="A25" t="s">
        <v>49</v>
      </c>
      <c r="C25">
        <f>MAX(C4:C23)</f>
        <v>10</v>
      </c>
      <c r="D25">
        <f t="shared" ref="D25:F25" si="6">MAX(D4:D23)</f>
        <v>20</v>
      </c>
      <c r="E25">
        <f t="shared" si="6"/>
        <v>100</v>
      </c>
      <c r="F25">
        <f t="shared" si="6"/>
        <v>1</v>
      </c>
      <c r="H25" s="2">
        <f>MAX(H4:H23)</f>
        <v>1</v>
      </c>
      <c r="I25" s="2">
        <f t="shared" ref="I25:K25" si="7">MAX(I4:I23)</f>
        <v>1</v>
      </c>
      <c r="J25" s="2">
        <f t="shared" si="7"/>
        <v>1</v>
      </c>
      <c r="K25" s="2">
        <f t="shared" si="7"/>
        <v>1</v>
      </c>
    </row>
    <row r="26" spans="1:13" x14ac:dyDescent="0.3">
      <c r="A26" t="s">
        <v>50</v>
      </c>
      <c r="C26">
        <f>MIN(C4:C23)</f>
        <v>4</v>
      </c>
      <c r="D26">
        <f t="shared" ref="D26:F26" si="8">MIN(D4:D23)</f>
        <v>11</v>
      </c>
      <c r="E26">
        <f t="shared" si="8"/>
        <v>59</v>
      </c>
      <c r="F26">
        <f t="shared" si="8"/>
        <v>0</v>
      </c>
      <c r="H26" s="2">
        <f>MIN(H4:H23)</f>
        <v>0.4</v>
      </c>
      <c r="I26" s="2">
        <f t="shared" ref="I26:K26" si="9">MIN(I4:I23)</f>
        <v>0.55000000000000004</v>
      </c>
      <c r="J26" s="2">
        <f t="shared" si="9"/>
        <v>0.59</v>
      </c>
      <c r="K26" s="2">
        <f t="shared" si="9"/>
        <v>0</v>
      </c>
    </row>
    <row r="27" spans="1:13" x14ac:dyDescent="0.3">
      <c r="A27" t="s">
        <v>51</v>
      </c>
      <c r="C27">
        <f>AVERAGE(C4:C23)</f>
        <v>7.55</v>
      </c>
      <c r="D27">
        <f t="shared" ref="D27:F27" si="10">AVERAGE(D4:D23)</f>
        <v>17.25</v>
      </c>
      <c r="E27">
        <f t="shared" si="10"/>
        <v>85.25</v>
      </c>
      <c r="F27">
        <f t="shared" si="10"/>
        <v>0.8</v>
      </c>
      <c r="H27" s="2">
        <f>AVERAGE(H4:H23)</f>
        <v>0.75500000000000012</v>
      </c>
      <c r="I27" s="2">
        <f t="shared" ref="I27:K27" si="11">AVERAGE(I4:I23)</f>
        <v>0.86250000000000004</v>
      </c>
      <c r="J27" s="2">
        <f t="shared" si="11"/>
        <v>0.85250000000000004</v>
      </c>
      <c r="K27" s="2">
        <f t="shared" si="11"/>
        <v>0.8</v>
      </c>
    </row>
  </sheetData>
  <conditionalFormatting sqref="C4:C23">
    <cfRule type="iconSet" priority="5">
      <iconSet iconSet="4TrafficLights">
        <cfvo type="percent" val="0"/>
        <cfvo type="percent" val="25"/>
        <cfvo type="percent" val="50"/>
        <cfvo type="percent" val="75"/>
      </iconSet>
    </cfRule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D4:D2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3 M4:M23">
    <cfRule type="cellIs" dxfId="1" priority="2" operator="lessThan">
      <formula>0.5</formula>
    </cfRule>
  </conditionalFormatting>
  <conditionalFormatting sqref="M4:M23">
    <cfRule type="cellIs" dxfId="0" priority="1" operator="equal">
      <formula>TRUE</formula>
    </cfRule>
  </conditionalFormatting>
  <pageMargins left="0.25" right="0.25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BC</dc:creator>
  <cp:lastModifiedBy>NAMRATHA BC</cp:lastModifiedBy>
  <cp:lastPrinted>2026-06-21T07:09:51Z</cp:lastPrinted>
  <dcterms:created xsi:type="dcterms:W3CDTF">2026-06-21T06:15:36Z</dcterms:created>
  <dcterms:modified xsi:type="dcterms:W3CDTF">2026-06-21T08:37:25Z</dcterms:modified>
</cp:coreProperties>
</file>