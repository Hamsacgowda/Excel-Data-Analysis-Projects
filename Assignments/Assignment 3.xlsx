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50dd908914cf52/Desktop/Excel-Data-Analysis-Projects/"/>
    </mc:Choice>
  </mc:AlternateContent>
  <xr:revisionPtr revIDLastSave="55" documentId="8_{35E8D10A-A857-4123-B819-602CD892863D}" xr6:coauthVersionLast="47" xr6:coauthVersionMax="47" xr10:uidLastSave="{9D5017CE-3439-4F74-A535-EF611DFDCA48}"/>
  <bookViews>
    <workbookView xWindow="-108" yWindow="-108" windowWidth="23256" windowHeight="12456" xr2:uid="{379D42E0-BEFA-47C5-84DE-A29C48EA3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C62" i="1"/>
  <c r="B62" i="1"/>
  <c r="D61" i="1"/>
  <c r="C61" i="1"/>
  <c r="B61" i="1"/>
  <c r="D56" i="1"/>
  <c r="C56" i="1"/>
  <c r="B56" i="1"/>
  <c r="D49" i="1"/>
  <c r="D51" i="1" s="1"/>
  <c r="C49" i="1"/>
  <c r="C51" i="1" s="1"/>
  <c r="B49" i="1"/>
  <c r="B51" i="1" s="1"/>
  <c r="C23" i="1"/>
  <c r="D23" i="1"/>
  <c r="B23" i="1"/>
  <c r="C28" i="1"/>
  <c r="D28" i="1"/>
  <c r="B28" i="1"/>
  <c r="C29" i="1"/>
  <c r="D29" i="1"/>
  <c r="B29" i="1"/>
  <c r="C16" i="1"/>
  <c r="C18" i="1" s="1"/>
  <c r="D16" i="1"/>
  <c r="D18" i="1" s="1"/>
  <c r="B16" i="1"/>
  <c r="B18" i="1" s="1"/>
  <c r="B31" i="1" s="1"/>
  <c r="C64" i="1" l="1"/>
  <c r="D64" i="1"/>
  <c r="C31" i="1"/>
  <c r="D31" i="1"/>
  <c r="B64" i="1"/>
</calcChain>
</file>

<file path=xl/sharedStrings.xml><?xml version="1.0" encoding="utf-8"?>
<sst xmlns="http://schemas.openxmlformats.org/spreadsheetml/2006/main" count="56" uniqueCount="29">
  <si>
    <t>Susan</t>
  </si>
  <si>
    <t>Chicago Museum</t>
  </si>
  <si>
    <t>Miami Cruise</t>
  </si>
  <si>
    <t>Orlando Theme Park</t>
  </si>
  <si>
    <t>Per Person Expenses</t>
  </si>
  <si>
    <t>Air Fare</t>
  </si>
  <si>
    <t>Natural history</t>
  </si>
  <si>
    <t>Chicago Museum of Art</t>
  </si>
  <si>
    <t>Science Museum</t>
  </si>
  <si>
    <t>Museum of Broadcast History</t>
  </si>
  <si>
    <t>Disneyland</t>
  </si>
  <si>
    <t>Universal Studios</t>
  </si>
  <si>
    <t>Sea World</t>
  </si>
  <si>
    <t>Busch Gardens</t>
  </si>
  <si>
    <t>Cruise</t>
  </si>
  <si>
    <t>Subtotal of Tickets (per person)</t>
  </si>
  <si>
    <t>Number of people in group</t>
  </si>
  <si>
    <t>Total costs of ticket</t>
  </si>
  <si>
    <t>Hotel Expenses</t>
  </si>
  <si>
    <t>Hotel Cost per Night</t>
  </si>
  <si>
    <t>Number of Nights</t>
  </si>
  <si>
    <t>Hotel Total</t>
  </si>
  <si>
    <t>Car Rental</t>
  </si>
  <si>
    <t>total food cost</t>
  </si>
  <si>
    <t>total car rental cost</t>
  </si>
  <si>
    <t>total</t>
  </si>
  <si>
    <t>Food pp</t>
  </si>
  <si>
    <t>no of days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</si>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</sst>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2" borderId="0" xfId="0" applyFont="1" applyFill="1"/>
    <xf numFmtId="0" fontId="0" fillId="2" borderId="0" xfId="0" applyFill="1"/>
    <xf numFmtId="44" fontId="0" fillId="2" borderId="0" xfId="1" applyFont="1" applyFill="1"/>
    <xf numFmtId="0" fontId="2" fillId="3" borderId="0" xfId="0" applyFont="1" applyFill="1"/>
    <xf numFmtId="0" fontId="0" fillId="3" borderId="0" xfId="0" applyFill="1"/>
    <xf numFmtId="44" fontId="0" fillId="3" borderId="0" xfId="1" applyFont="1" applyFill="1"/>
    <xf numFmtId="0" fontId="0" fillId="3" borderId="0" xfId="1" applyNumberFormat="1" applyFont="1" applyFill="1"/>
    <xf numFmtId="0" fontId="0" fillId="4" borderId="0" xfId="0" applyFill="1"/>
    <xf numFmtId="44" fontId="0" fillId="4" borderId="0" xfId="1" applyFont="1" applyFill="1"/>
    <xf numFmtId="0" fontId="0" fillId="4" borderId="0" xfId="1" applyNumberFormat="1" applyFont="1" applyFill="1"/>
    <xf numFmtId="44" fontId="0" fillId="4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Susans</a:t>
            </a:r>
            <a:r>
              <a:rPr lang="en-US" baseline="0"/>
              <a:t> Fare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Chicago Museum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Sheet1!$A$2:$A$29</c:f>
              <c:strCache>
                <c:ptCount val="28"/>
                <c:pt idx="2">
                  <c:v>Per Person Expenses</c:v>
                </c:pt>
                <c:pt idx="3">
                  <c:v>Air Fare</c:v>
                </c:pt>
                <c:pt idx="4">
                  <c:v>Natural history</c:v>
                </c:pt>
                <c:pt idx="5">
                  <c:v>Chicago Museum of Art</c:v>
                </c:pt>
                <c:pt idx="6">
                  <c:v>Science Museum</c:v>
                </c:pt>
                <c:pt idx="7">
                  <c:v>Museum of Broadcast History</c:v>
                </c:pt>
                <c:pt idx="8">
                  <c:v>Disneyland</c:v>
                </c:pt>
                <c:pt idx="9">
                  <c:v>Universal Studios</c:v>
                </c:pt>
                <c:pt idx="10">
                  <c:v>Sea World</c:v>
                </c:pt>
                <c:pt idx="11">
                  <c:v>Busch Gardens</c:v>
                </c:pt>
                <c:pt idx="12">
                  <c:v>Cruise</c:v>
                </c:pt>
                <c:pt idx="14">
                  <c:v>Subtotal of Tickets (per person)</c:v>
                </c:pt>
                <c:pt idx="15">
                  <c:v>Number of people in group</c:v>
                </c:pt>
                <c:pt idx="16">
                  <c:v>Total costs of ticket</c:v>
                </c:pt>
                <c:pt idx="18">
                  <c:v>Hotel Expenses</c:v>
                </c:pt>
                <c:pt idx="19">
                  <c:v>Hotel Cost per Night</c:v>
                </c:pt>
                <c:pt idx="20">
                  <c:v>Number of Nights</c:v>
                </c:pt>
                <c:pt idx="21">
                  <c:v>Hotel Total</c:v>
                </c:pt>
                <c:pt idx="23">
                  <c:v>Car Rental</c:v>
                </c:pt>
                <c:pt idx="24">
                  <c:v>no of days</c:v>
                </c:pt>
                <c:pt idx="25">
                  <c:v>Food pp</c:v>
                </c:pt>
                <c:pt idx="26">
                  <c:v>total food cost</c:v>
                </c:pt>
                <c:pt idx="27">
                  <c:v>total car rental cost</c:v>
                </c:pt>
              </c:strCache>
            </c:strRef>
          </c:cat>
          <c:val>
            <c:numRef>
              <c:f>Sheet1!$B$2:$B$29</c:f>
              <c:numCache>
                <c:formatCode>General</c:formatCode>
                <c:ptCount val="28"/>
                <c:pt idx="3" formatCode="_(&quot;$&quot;* #,##0.00_);_(&quot;$&quot;* \(#,##0.00\);_(&quot;$&quot;* &quot;-&quot;??_);_(@_)">
                  <c:v>280</c:v>
                </c:pt>
                <c:pt idx="4" formatCode="_(&quot;$&quot;* #,##0.00_);_(&quot;$&quot;* \(#,##0.00\);_(&quot;$&quot;* &quot;-&quot;??_);_(@_)">
                  <c:v>18</c:v>
                </c:pt>
                <c:pt idx="5" formatCode="_(&quot;$&quot;* #,##0.00_);_(&quot;$&quot;* \(#,##0.00\);_(&quot;$&quot;* &quot;-&quot;??_);_(@_)">
                  <c:v>25</c:v>
                </c:pt>
                <c:pt idx="6" formatCode="_(&quot;$&quot;* #,##0.00_);_(&quot;$&quot;* \(#,##0.00\);_(&quot;$&quot;* &quot;-&quot;??_);_(@_)">
                  <c:v>15</c:v>
                </c:pt>
                <c:pt idx="7" formatCode="_(&quot;$&quot;* #,##0.00_);_(&quot;$&quot;* \(#,##0.00\);_(&quot;$&quot;* &quot;-&quot;??_);_(@_)">
                  <c:v>9</c:v>
                </c:pt>
                <c:pt idx="8" formatCode="_(&quot;$&quot;* #,##0.00_);_(&quot;$&quot;* \(#,##0.00\);_(&quot;$&quot;* &quot;-&quot;??_);_(@_)">
                  <c:v>0</c:v>
                </c:pt>
                <c:pt idx="9" formatCode="_(&quot;$&quot;* #,##0.00_);_(&quot;$&quot;* \(#,##0.00\);_(&quot;$&quot;* &quot;-&quot;??_);_(@_)">
                  <c:v>0</c:v>
                </c:pt>
                <c:pt idx="10" formatCode="_(&quot;$&quot;* #,##0.00_);_(&quot;$&quot;* \(#,##0.00\);_(&quot;$&quot;* &quot;-&quot;??_);_(@_)">
                  <c:v>0</c:v>
                </c:pt>
                <c:pt idx="11" formatCode="_(&quot;$&quot;* #,##0.00_);_(&quot;$&quot;* \(#,##0.00\);_(&quot;$&quot;* &quot;-&quot;??_);_(@_)">
                  <c:v>0</c:v>
                </c:pt>
                <c:pt idx="12">
                  <c:v>0</c:v>
                </c:pt>
                <c:pt idx="14" formatCode="_(&quot;$&quot;* #,##0.00_);_(&quot;$&quot;* \(#,##0.00\);_(&quot;$&quot;* &quot;-&quot;??_);_(@_)">
                  <c:v>347</c:v>
                </c:pt>
                <c:pt idx="15">
                  <c:v>2</c:v>
                </c:pt>
                <c:pt idx="16" formatCode="_(&quot;$&quot;* #,##0.00_);_(&quot;$&quot;* \(#,##0.00\);_(&quot;$&quot;* &quot;-&quot;??_);_(@_)">
                  <c:v>694</c:v>
                </c:pt>
                <c:pt idx="19" formatCode="_(&quot;$&quot;* #,##0.00_);_(&quot;$&quot;* \(#,##0.00\);_(&quot;$&quot;* &quot;-&quot;??_);_(@_)">
                  <c:v>120</c:v>
                </c:pt>
                <c:pt idx="20">
                  <c:v>5</c:v>
                </c:pt>
                <c:pt idx="21" formatCode="_(&quot;$&quot;* #,##0.00_);_(&quot;$&quot;* \(#,##0.00\);_(&quot;$&quot;* &quot;-&quot;??_);_(@_)">
                  <c:v>600</c:v>
                </c:pt>
                <c:pt idx="23" formatCode="_(&quot;$&quot;* #,##0.00_);_(&quot;$&quot;* \(#,##0.00\);_(&quot;$&quot;* &quot;-&quot;??_);_(@_)">
                  <c:v>40</c:v>
                </c:pt>
                <c:pt idx="24">
                  <c:v>4</c:v>
                </c:pt>
                <c:pt idx="25" formatCode="_(&quot;$&quot;* #,##0.00_);_(&quot;$&quot;* \(#,##0.00\);_(&quot;$&quot;* &quot;-&quot;??_);_(@_)">
                  <c:v>50</c:v>
                </c:pt>
                <c:pt idx="26" formatCode="_(&quot;$&quot;* #,##0.00_);_(&quot;$&quot;* \(#,##0.00\);_(&quot;$&quot;* &quot;-&quot;??_);_(@_)">
                  <c:v>100</c:v>
                </c:pt>
                <c:pt idx="27" formatCode="_(&quot;$&quot;* #,##0.00_);_(&quot;$&quot;* \(#,##0.00\);_(&quot;$&quot;* &quot;-&quot;??_);_(@_)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5-4EA9-AB00-9702F4B95E0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Orlando Theme Park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Sheet1!$A$2:$A$29</c:f>
              <c:strCache>
                <c:ptCount val="28"/>
                <c:pt idx="2">
                  <c:v>Per Person Expenses</c:v>
                </c:pt>
                <c:pt idx="3">
                  <c:v>Air Fare</c:v>
                </c:pt>
                <c:pt idx="4">
                  <c:v>Natural history</c:v>
                </c:pt>
                <c:pt idx="5">
                  <c:v>Chicago Museum of Art</c:v>
                </c:pt>
                <c:pt idx="6">
                  <c:v>Science Museum</c:v>
                </c:pt>
                <c:pt idx="7">
                  <c:v>Museum of Broadcast History</c:v>
                </c:pt>
                <c:pt idx="8">
                  <c:v>Disneyland</c:v>
                </c:pt>
                <c:pt idx="9">
                  <c:v>Universal Studios</c:v>
                </c:pt>
                <c:pt idx="10">
                  <c:v>Sea World</c:v>
                </c:pt>
                <c:pt idx="11">
                  <c:v>Busch Gardens</c:v>
                </c:pt>
                <c:pt idx="12">
                  <c:v>Cruise</c:v>
                </c:pt>
                <c:pt idx="14">
                  <c:v>Subtotal of Tickets (per person)</c:v>
                </c:pt>
                <c:pt idx="15">
                  <c:v>Number of people in group</c:v>
                </c:pt>
                <c:pt idx="16">
                  <c:v>Total costs of ticket</c:v>
                </c:pt>
                <c:pt idx="18">
                  <c:v>Hotel Expenses</c:v>
                </c:pt>
                <c:pt idx="19">
                  <c:v>Hotel Cost per Night</c:v>
                </c:pt>
                <c:pt idx="20">
                  <c:v>Number of Nights</c:v>
                </c:pt>
                <c:pt idx="21">
                  <c:v>Hotel Total</c:v>
                </c:pt>
                <c:pt idx="23">
                  <c:v>Car Rental</c:v>
                </c:pt>
                <c:pt idx="24">
                  <c:v>no of days</c:v>
                </c:pt>
                <c:pt idx="25">
                  <c:v>Food pp</c:v>
                </c:pt>
                <c:pt idx="26">
                  <c:v>total food cost</c:v>
                </c:pt>
                <c:pt idx="27">
                  <c:v>total car rental cost</c:v>
                </c:pt>
              </c:strCache>
            </c:strRef>
          </c:cat>
          <c:val>
            <c:numRef>
              <c:f>Sheet1!$C$2:$C$29</c:f>
              <c:numCache>
                <c:formatCode>General</c:formatCode>
                <c:ptCount val="28"/>
                <c:pt idx="3" formatCode="_(&quot;$&quot;* #,##0.00_);_(&quot;$&quot;* \(#,##0.00\);_(&quot;$&quot;* &quot;-&quot;??_);_(@_)">
                  <c:v>100</c:v>
                </c:pt>
                <c:pt idx="4" formatCode="_(&quot;$&quot;* #,##0.00_);_(&quot;$&quot;* \(#,##0.00\);_(&quot;$&quot;* &quot;-&quot;??_);_(@_)">
                  <c:v>0</c:v>
                </c:pt>
                <c:pt idx="5" formatCode="_(&quot;$&quot;* #,##0.00_);_(&quot;$&quot;* \(#,##0.00\);_(&quot;$&quot;* &quot;-&quot;??_);_(@_)">
                  <c:v>0</c:v>
                </c:pt>
                <c:pt idx="6" formatCode="_(&quot;$&quot;* #,##0.00_);_(&quot;$&quot;* \(#,##0.00\);_(&quot;$&quot;* &quot;-&quot;??_);_(@_)">
                  <c:v>0</c:v>
                </c:pt>
                <c:pt idx="7" formatCode="_(&quot;$&quot;* #,##0.00_);_(&quot;$&quot;* \(#,##0.00\);_(&quot;$&quot;* &quot;-&quot;??_);_(@_)">
                  <c:v>0</c:v>
                </c:pt>
                <c:pt idx="8" formatCode="_(&quot;$&quot;* #,##0.00_);_(&quot;$&quot;* \(#,##0.00\);_(&quot;$&quot;* &quot;-&quot;??_);_(@_)">
                  <c:v>99</c:v>
                </c:pt>
                <c:pt idx="9" formatCode="_(&quot;$&quot;* #,##0.00_);_(&quot;$&quot;* \(#,##0.00\);_(&quot;$&quot;* &quot;-&quot;??_);_(@_)">
                  <c:v>95</c:v>
                </c:pt>
                <c:pt idx="10" formatCode="_(&quot;$&quot;* #,##0.00_);_(&quot;$&quot;* \(#,##0.00\);_(&quot;$&quot;* &quot;-&quot;??_);_(@_)">
                  <c:v>85</c:v>
                </c:pt>
                <c:pt idx="11" formatCode="_(&quot;$&quot;* #,##0.00_);_(&quot;$&quot;* \(#,##0.00\);_(&quot;$&quot;* &quot;-&quot;??_);_(@_)">
                  <c:v>85</c:v>
                </c:pt>
                <c:pt idx="12">
                  <c:v>0</c:v>
                </c:pt>
                <c:pt idx="14" formatCode="_(&quot;$&quot;* #,##0.00_);_(&quot;$&quot;* \(#,##0.00\);_(&quot;$&quot;* &quot;-&quot;??_);_(@_)">
                  <c:v>464</c:v>
                </c:pt>
                <c:pt idx="15">
                  <c:v>2</c:v>
                </c:pt>
                <c:pt idx="16" formatCode="_(&quot;$&quot;* #,##0.00_);_(&quot;$&quot;* \(#,##0.00\);_(&quot;$&quot;* &quot;-&quot;??_);_(@_)">
                  <c:v>928</c:v>
                </c:pt>
                <c:pt idx="19" formatCode="_(&quot;$&quot;* #,##0.00_);_(&quot;$&quot;* \(#,##0.00\);_(&quot;$&quot;* &quot;-&quot;??_);_(@_)">
                  <c:v>105</c:v>
                </c:pt>
                <c:pt idx="20">
                  <c:v>5</c:v>
                </c:pt>
                <c:pt idx="21" formatCode="_(&quot;$&quot;* #,##0.00_);_(&quot;$&quot;* \(#,##0.00\);_(&quot;$&quot;* &quot;-&quot;??_);_(@_)">
                  <c:v>525</c:v>
                </c:pt>
                <c:pt idx="23" formatCode="_(&quot;$&quot;* #,##0.00_);_(&quot;$&quot;* \(#,##0.00\);_(&quot;$&quot;* &quot;-&quot;??_);_(@_)">
                  <c:v>0</c:v>
                </c:pt>
                <c:pt idx="24">
                  <c:v>4</c:v>
                </c:pt>
                <c:pt idx="25" formatCode="_(&quot;$&quot;* #,##0.00_);_(&quot;$&quot;* \(#,##0.00\);_(&quot;$&quot;* &quot;-&quot;??_);_(@_)">
                  <c:v>50</c:v>
                </c:pt>
                <c:pt idx="26" formatCode="_(&quot;$&quot;* #,##0.00_);_(&quot;$&quot;* \(#,##0.00\);_(&quot;$&quot;* &quot;-&quot;??_);_(@_)">
                  <c:v>100</c:v>
                </c:pt>
                <c:pt idx="27" formatCode="_(&quot;$&quot;* #,##0.00_);_(&quot;$&quot;* \(#,##0.00\);_(&quot;$&quot;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C5-4EA9-AB00-9702F4B95E0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Miami Cruise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Sheet1!$A$2:$A$29</c:f>
              <c:strCache>
                <c:ptCount val="28"/>
                <c:pt idx="2">
                  <c:v>Per Person Expenses</c:v>
                </c:pt>
                <c:pt idx="3">
                  <c:v>Air Fare</c:v>
                </c:pt>
                <c:pt idx="4">
                  <c:v>Natural history</c:v>
                </c:pt>
                <c:pt idx="5">
                  <c:v>Chicago Museum of Art</c:v>
                </c:pt>
                <c:pt idx="6">
                  <c:v>Science Museum</c:v>
                </c:pt>
                <c:pt idx="7">
                  <c:v>Museum of Broadcast History</c:v>
                </c:pt>
                <c:pt idx="8">
                  <c:v>Disneyland</c:v>
                </c:pt>
                <c:pt idx="9">
                  <c:v>Universal Studios</c:v>
                </c:pt>
                <c:pt idx="10">
                  <c:v>Sea World</c:v>
                </c:pt>
                <c:pt idx="11">
                  <c:v>Busch Gardens</c:v>
                </c:pt>
                <c:pt idx="12">
                  <c:v>Cruise</c:v>
                </c:pt>
                <c:pt idx="14">
                  <c:v>Subtotal of Tickets (per person)</c:v>
                </c:pt>
                <c:pt idx="15">
                  <c:v>Number of people in group</c:v>
                </c:pt>
                <c:pt idx="16">
                  <c:v>Total costs of ticket</c:v>
                </c:pt>
                <c:pt idx="18">
                  <c:v>Hotel Expenses</c:v>
                </c:pt>
                <c:pt idx="19">
                  <c:v>Hotel Cost per Night</c:v>
                </c:pt>
                <c:pt idx="20">
                  <c:v>Number of Nights</c:v>
                </c:pt>
                <c:pt idx="21">
                  <c:v>Hotel Total</c:v>
                </c:pt>
                <c:pt idx="23">
                  <c:v>Car Rental</c:v>
                </c:pt>
                <c:pt idx="24">
                  <c:v>no of days</c:v>
                </c:pt>
                <c:pt idx="25">
                  <c:v>Food pp</c:v>
                </c:pt>
                <c:pt idx="26">
                  <c:v>total food cost</c:v>
                </c:pt>
                <c:pt idx="27">
                  <c:v>total car rental cost</c:v>
                </c:pt>
              </c:strCache>
            </c:strRef>
          </c:cat>
          <c:val>
            <c:numRef>
              <c:f>Sheet1!$D$2:$D$29</c:f>
              <c:numCache>
                <c:formatCode>General</c:formatCode>
                <c:ptCount val="28"/>
                <c:pt idx="3" formatCode="_(&quot;$&quot;* #,##0.00_);_(&quot;$&quot;* \(#,##0.00\);_(&quot;$&quot;* &quot;-&quot;??_);_(@_)">
                  <c:v>350</c:v>
                </c:pt>
                <c:pt idx="4" formatCode="_(&quot;$&quot;* #,##0.00_);_(&quot;$&quot;* \(#,##0.00\);_(&quot;$&quot;* &quot;-&quot;??_);_(@_)">
                  <c:v>0</c:v>
                </c:pt>
                <c:pt idx="5" formatCode="_(&quot;$&quot;* #,##0.00_);_(&quot;$&quot;* \(#,##0.00\);_(&quot;$&quot;* &quot;-&quot;??_);_(@_)">
                  <c:v>0</c:v>
                </c:pt>
                <c:pt idx="6" formatCode="_(&quot;$&quot;* #,##0.00_);_(&quot;$&quot;* \(#,##0.00\);_(&quot;$&quot;* &quot;-&quot;??_);_(@_)">
                  <c:v>0</c:v>
                </c:pt>
                <c:pt idx="7" formatCode="_(&quot;$&quot;* #,##0.00_);_(&quot;$&quot;* \(#,##0.00\);_(&quot;$&quot;* &quot;-&quot;??_);_(@_)">
                  <c:v>0</c:v>
                </c:pt>
                <c:pt idx="8" formatCode="_(&quot;$&quot;* #,##0.00_);_(&quot;$&quot;* \(#,##0.00\);_(&quot;$&quot;* &quot;-&quot;??_);_(@_)">
                  <c:v>0</c:v>
                </c:pt>
                <c:pt idx="9" formatCode="_(&quot;$&quot;* #,##0.00_);_(&quot;$&quot;* \(#,##0.00\);_(&quot;$&quot;* &quot;-&quot;??_);_(@_)">
                  <c:v>0</c:v>
                </c:pt>
                <c:pt idx="10" formatCode="_(&quot;$&quot;* #,##0.00_);_(&quot;$&quot;* \(#,##0.00\);_(&quot;$&quot;* &quot;-&quot;??_);_(@_)">
                  <c:v>0</c:v>
                </c:pt>
                <c:pt idx="11" formatCode="_(&quot;$&quot;* #,##0.00_);_(&quot;$&quot;* \(#,##0.00\);_(&quot;$&quot;* &quot;-&quot;??_);_(@_)">
                  <c:v>0</c:v>
                </c:pt>
                <c:pt idx="12" formatCode="_(&quot;$&quot;* #,##0.00_);_(&quot;$&quot;* \(#,##0.00\);_(&quot;$&quot;* &quot;-&quot;??_);_(@_)">
                  <c:v>555</c:v>
                </c:pt>
                <c:pt idx="14" formatCode="_(&quot;$&quot;* #,##0.00_);_(&quot;$&quot;* \(#,##0.00\);_(&quot;$&quot;* &quot;-&quot;??_);_(@_)">
                  <c:v>905</c:v>
                </c:pt>
                <c:pt idx="15">
                  <c:v>2</c:v>
                </c:pt>
                <c:pt idx="16" formatCode="_(&quot;$&quot;* #,##0.00_);_(&quot;$&quot;* \(#,##0.00\);_(&quot;$&quot;* &quot;-&quot;??_);_(@_)">
                  <c:v>1810</c:v>
                </c:pt>
                <c:pt idx="19" formatCode="_(&quot;$&quot;* #,##0.00_);_(&quot;$&quot;* \(#,##0.00\);_(&quot;$&quot;* &quot;-&quot;??_);_(@_)">
                  <c:v>0</c:v>
                </c:pt>
                <c:pt idx="20" formatCode="_(&quot;$&quot;* #,##0.00_);_(&quot;$&quot;* \(#,##0.00\);_(&quot;$&quot;* &quot;-&quot;??_);_(@_)">
                  <c:v>0</c:v>
                </c:pt>
                <c:pt idx="21" formatCode="_(&quot;$&quot;* #,##0.00_);_(&quot;$&quot;* \(#,##0.00\);_(&quot;$&quot;* &quot;-&quot;??_);_(@_)">
                  <c:v>0</c:v>
                </c:pt>
                <c:pt idx="23" formatCode="_(&quot;$&quot;* #,##0.00_);_(&quot;$&quot;* \(#,##0.00\);_(&quot;$&quot;* &quot;-&quot;??_);_(@_)">
                  <c:v>0</c:v>
                </c:pt>
                <c:pt idx="24">
                  <c:v>4</c:v>
                </c:pt>
                <c:pt idx="25" formatCode="_(&quot;$&quot;* #,##0.00_);_(&quot;$&quot;* \(#,##0.00\);_(&quot;$&quot;* &quot;-&quot;??_);_(@_)">
                  <c:v>0</c:v>
                </c:pt>
                <c:pt idx="26" formatCode="_(&quot;$&quot;* #,##0.00_);_(&quot;$&quot;* \(#,##0.00\);_(&quot;$&quot;* &quot;-&quot;??_);_(@_)">
                  <c:v>0</c:v>
                </c:pt>
                <c:pt idx="27" formatCode="_(&quot;$&quot;* #,##0.00_);_(&quot;$&quot;* \(#,##0.00\);_(&quot;$&quot;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C5-4EA9-AB00-9702F4B95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710704"/>
        <c:axId val="694328048"/>
      </c:barChart>
      <c:catAx>
        <c:axId val="76671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28048"/>
        <c:crosses val="autoZero"/>
        <c:auto val="1"/>
        <c:lblAlgn val="ctr"/>
        <c:lblOffset val="100"/>
        <c:noMultiLvlLbl val="0"/>
      </c:catAx>
      <c:valAx>
        <c:axId val="69432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1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Tims</a:t>
            </a:r>
            <a:r>
              <a:rPr lang="en-US" baseline="0"/>
              <a:t> Fare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Chicago Museum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Sheet1!$A$35:$A$62</c:f>
              <c:strCache>
                <c:ptCount val="28"/>
                <c:pt idx="2">
                  <c:v>Per Person Expenses</c:v>
                </c:pt>
                <c:pt idx="3">
                  <c:v>Air Fare</c:v>
                </c:pt>
                <c:pt idx="4">
                  <c:v>Natural history</c:v>
                </c:pt>
                <c:pt idx="5">
                  <c:v>Chicago Museum of Art</c:v>
                </c:pt>
                <c:pt idx="6">
                  <c:v>Science Museum</c:v>
                </c:pt>
                <c:pt idx="7">
                  <c:v>Museum of Broadcast History</c:v>
                </c:pt>
                <c:pt idx="8">
                  <c:v>Disneyland</c:v>
                </c:pt>
                <c:pt idx="9">
                  <c:v>Universal Studios</c:v>
                </c:pt>
                <c:pt idx="10">
                  <c:v>Sea World</c:v>
                </c:pt>
                <c:pt idx="11">
                  <c:v>Busch Gardens</c:v>
                </c:pt>
                <c:pt idx="12">
                  <c:v>Cruise</c:v>
                </c:pt>
                <c:pt idx="14">
                  <c:v>Subtotal of Tickets (per person)</c:v>
                </c:pt>
                <c:pt idx="15">
                  <c:v>Number of people in group</c:v>
                </c:pt>
                <c:pt idx="16">
                  <c:v>Total costs of ticket</c:v>
                </c:pt>
                <c:pt idx="18">
                  <c:v>Hotel Expenses</c:v>
                </c:pt>
                <c:pt idx="19">
                  <c:v>Hotel Cost per Night</c:v>
                </c:pt>
                <c:pt idx="20">
                  <c:v>Number of Nights</c:v>
                </c:pt>
                <c:pt idx="21">
                  <c:v>Hotel Total</c:v>
                </c:pt>
                <c:pt idx="23">
                  <c:v>Car Rental</c:v>
                </c:pt>
                <c:pt idx="24">
                  <c:v>no of days</c:v>
                </c:pt>
                <c:pt idx="25">
                  <c:v>Food pp</c:v>
                </c:pt>
                <c:pt idx="26">
                  <c:v>total food cost</c:v>
                </c:pt>
                <c:pt idx="27">
                  <c:v>total car rental cost</c:v>
                </c:pt>
              </c:strCache>
            </c:strRef>
          </c:cat>
          <c:val>
            <c:numRef>
              <c:f>Sheet1!$B$35:$B$62</c:f>
              <c:numCache>
                <c:formatCode>General</c:formatCode>
                <c:ptCount val="28"/>
                <c:pt idx="3" formatCode="_(&quot;$&quot;* #,##0.00_);_(&quot;$&quot;* \(#,##0.00\);_(&quot;$&quot;* &quot;-&quot;??_);_(@_)">
                  <c:v>280</c:v>
                </c:pt>
                <c:pt idx="4" formatCode="_(&quot;$&quot;* #,##0.00_);_(&quot;$&quot;* \(#,##0.00\);_(&quot;$&quot;* &quot;-&quot;??_);_(@_)">
                  <c:v>18</c:v>
                </c:pt>
                <c:pt idx="5" formatCode="_(&quot;$&quot;* #,##0.00_);_(&quot;$&quot;* \(#,##0.00\);_(&quot;$&quot;* &quot;-&quot;??_);_(@_)">
                  <c:v>25</c:v>
                </c:pt>
                <c:pt idx="6" formatCode="_(&quot;$&quot;* #,##0.00_);_(&quot;$&quot;* \(#,##0.00\);_(&quot;$&quot;* &quot;-&quot;??_);_(@_)">
                  <c:v>15</c:v>
                </c:pt>
                <c:pt idx="7" formatCode="_(&quot;$&quot;* #,##0.00_);_(&quot;$&quot;* \(#,##0.00\);_(&quot;$&quot;* &quot;-&quot;??_);_(@_)">
                  <c:v>9</c:v>
                </c:pt>
                <c:pt idx="8" formatCode="_(&quot;$&quot;* #,##0.00_);_(&quot;$&quot;* \(#,##0.00\);_(&quot;$&quot;* &quot;-&quot;??_);_(@_)">
                  <c:v>0</c:v>
                </c:pt>
                <c:pt idx="9" formatCode="_(&quot;$&quot;* #,##0.00_);_(&quot;$&quot;* \(#,##0.00\);_(&quot;$&quot;* &quot;-&quot;??_);_(@_)">
                  <c:v>0</c:v>
                </c:pt>
                <c:pt idx="10" formatCode="_(&quot;$&quot;* #,##0.00_);_(&quot;$&quot;* \(#,##0.00\);_(&quot;$&quot;* &quot;-&quot;??_);_(@_)">
                  <c:v>0</c:v>
                </c:pt>
                <c:pt idx="11" formatCode="_(&quot;$&quot;* #,##0.00_);_(&quot;$&quot;* \(#,##0.00\);_(&quot;$&quot;* &quot;-&quot;??_);_(@_)">
                  <c:v>0</c:v>
                </c:pt>
                <c:pt idx="12">
                  <c:v>0</c:v>
                </c:pt>
                <c:pt idx="14" formatCode="_(&quot;$&quot;* #,##0.00_);_(&quot;$&quot;* \(#,##0.00\);_(&quot;$&quot;* &quot;-&quot;??_);_(@_)">
                  <c:v>347</c:v>
                </c:pt>
                <c:pt idx="15">
                  <c:v>4</c:v>
                </c:pt>
                <c:pt idx="16" formatCode="_(&quot;$&quot;* #,##0.00_);_(&quot;$&quot;* \(#,##0.00\);_(&quot;$&quot;* &quot;-&quot;??_);_(@_)">
                  <c:v>1388</c:v>
                </c:pt>
                <c:pt idx="19" formatCode="_(&quot;$&quot;* #,##0.00_);_(&quot;$&quot;* \(#,##0.00\);_(&quot;$&quot;* &quot;-&quot;??_);_(@_)">
                  <c:v>120</c:v>
                </c:pt>
                <c:pt idx="20">
                  <c:v>5</c:v>
                </c:pt>
                <c:pt idx="21" formatCode="_(&quot;$&quot;* #,##0.00_);_(&quot;$&quot;* \(#,##0.00\);_(&quot;$&quot;* &quot;-&quot;??_);_(@_)">
                  <c:v>600</c:v>
                </c:pt>
                <c:pt idx="23" formatCode="_(&quot;$&quot;* #,##0.00_);_(&quot;$&quot;* \(#,##0.00\);_(&quot;$&quot;* &quot;-&quot;??_);_(@_)">
                  <c:v>40</c:v>
                </c:pt>
                <c:pt idx="24">
                  <c:v>4</c:v>
                </c:pt>
                <c:pt idx="25" formatCode="_(&quot;$&quot;* #,##0.00_);_(&quot;$&quot;* \(#,##0.00\);_(&quot;$&quot;* &quot;-&quot;??_);_(@_)">
                  <c:v>50</c:v>
                </c:pt>
                <c:pt idx="26" formatCode="_(&quot;$&quot;* #,##0.00_);_(&quot;$&quot;* \(#,##0.00\);_(&quot;$&quot;* &quot;-&quot;??_);_(@_)">
                  <c:v>200</c:v>
                </c:pt>
                <c:pt idx="27" formatCode="_(&quot;$&quot;* #,##0.00_);_(&quot;$&quot;* \(#,##0.00\);_(&quot;$&quot;* &quot;-&quot;??_);_(@_)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D-4808-9D94-3593AA067B45}"/>
            </c:ext>
          </c:extLst>
        </c:ser>
        <c:ser>
          <c:idx val="1"/>
          <c:order val="1"/>
          <c:tx>
            <c:strRef>
              <c:f>Sheet1!$C$34</c:f>
              <c:strCache>
                <c:ptCount val="1"/>
                <c:pt idx="0">
                  <c:v>Orlando Theme Park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Sheet1!$A$35:$A$62</c:f>
              <c:strCache>
                <c:ptCount val="28"/>
                <c:pt idx="2">
                  <c:v>Per Person Expenses</c:v>
                </c:pt>
                <c:pt idx="3">
                  <c:v>Air Fare</c:v>
                </c:pt>
                <c:pt idx="4">
                  <c:v>Natural history</c:v>
                </c:pt>
                <c:pt idx="5">
                  <c:v>Chicago Museum of Art</c:v>
                </c:pt>
                <c:pt idx="6">
                  <c:v>Science Museum</c:v>
                </c:pt>
                <c:pt idx="7">
                  <c:v>Museum of Broadcast History</c:v>
                </c:pt>
                <c:pt idx="8">
                  <c:v>Disneyland</c:v>
                </c:pt>
                <c:pt idx="9">
                  <c:v>Universal Studios</c:v>
                </c:pt>
                <c:pt idx="10">
                  <c:v>Sea World</c:v>
                </c:pt>
                <c:pt idx="11">
                  <c:v>Busch Gardens</c:v>
                </c:pt>
                <c:pt idx="12">
                  <c:v>Cruise</c:v>
                </c:pt>
                <c:pt idx="14">
                  <c:v>Subtotal of Tickets (per person)</c:v>
                </c:pt>
                <c:pt idx="15">
                  <c:v>Number of people in group</c:v>
                </c:pt>
                <c:pt idx="16">
                  <c:v>Total costs of ticket</c:v>
                </c:pt>
                <c:pt idx="18">
                  <c:v>Hotel Expenses</c:v>
                </c:pt>
                <c:pt idx="19">
                  <c:v>Hotel Cost per Night</c:v>
                </c:pt>
                <c:pt idx="20">
                  <c:v>Number of Nights</c:v>
                </c:pt>
                <c:pt idx="21">
                  <c:v>Hotel Total</c:v>
                </c:pt>
                <c:pt idx="23">
                  <c:v>Car Rental</c:v>
                </c:pt>
                <c:pt idx="24">
                  <c:v>no of days</c:v>
                </c:pt>
                <c:pt idx="25">
                  <c:v>Food pp</c:v>
                </c:pt>
                <c:pt idx="26">
                  <c:v>total food cost</c:v>
                </c:pt>
                <c:pt idx="27">
                  <c:v>total car rental cost</c:v>
                </c:pt>
              </c:strCache>
            </c:strRef>
          </c:cat>
          <c:val>
            <c:numRef>
              <c:f>Sheet1!$C$35:$C$62</c:f>
              <c:numCache>
                <c:formatCode>General</c:formatCode>
                <c:ptCount val="28"/>
                <c:pt idx="3" formatCode="_(&quot;$&quot;* #,##0.00_);_(&quot;$&quot;* \(#,##0.00\);_(&quot;$&quot;* &quot;-&quot;??_);_(@_)">
                  <c:v>100</c:v>
                </c:pt>
                <c:pt idx="4" formatCode="_(&quot;$&quot;* #,##0.00_);_(&quot;$&quot;* \(#,##0.00\);_(&quot;$&quot;* &quot;-&quot;??_);_(@_)">
                  <c:v>0</c:v>
                </c:pt>
                <c:pt idx="5" formatCode="_(&quot;$&quot;* #,##0.00_);_(&quot;$&quot;* \(#,##0.00\);_(&quot;$&quot;* &quot;-&quot;??_);_(@_)">
                  <c:v>0</c:v>
                </c:pt>
                <c:pt idx="6" formatCode="_(&quot;$&quot;* #,##0.00_);_(&quot;$&quot;* \(#,##0.00\);_(&quot;$&quot;* &quot;-&quot;??_);_(@_)">
                  <c:v>0</c:v>
                </c:pt>
                <c:pt idx="7" formatCode="_(&quot;$&quot;* #,##0.00_);_(&quot;$&quot;* \(#,##0.00\);_(&quot;$&quot;* &quot;-&quot;??_);_(@_)">
                  <c:v>0</c:v>
                </c:pt>
                <c:pt idx="8" formatCode="_(&quot;$&quot;* #,##0.00_);_(&quot;$&quot;* \(#,##0.00\);_(&quot;$&quot;* &quot;-&quot;??_);_(@_)">
                  <c:v>99</c:v>
                </c:pt>
                <c:pt idx="9" formatCode="_(&quot;$&quot;* #,##0.00_);_(&quot;$&quot;* \(#,##0.00\);_(&quot;$&quot;* &quot;-&quot;??_);_(@_)">
                  <c:v>95</c:v>
                </c:pt>
                <c:pt idx="10" formatCode="_(&quot;$&quot;* #,##0.00_);_(&quot;$&quot;* \(#,##0.00\);_(&quot;$&quot;* &quot;-&quot;??_);_(@_)">
                  <c:v>85</c:v>
                </c:pt>
                <c:pt idx="11" formatCode="_(&quot;$&quot;* #,##0.00_);_(&quot;$&quot;* \(#,##0.00\);_(&quot;$&quot;* &quot;-&quot;??_);_(@_)">
                  <c:v>85</c:v>
                </c:pt>
                <c:pt idx="12">
                  <c:v>0</c:v>
                </c:pt>
                <c:pt idx="14" formatCode="_(&quot;$&quot;* #,##0.00_);_(&quot;$&quot;* \(#,##0.00\);_(&quot;$&quot;* &quot;-&quot;??_);_(@_)">
                  <c:v>464</c:v>
                </c:pt>
                <c:pt idx="15">
                  <c:v>4</c:v>
                </c:pt>
                <c:pt idx="16" formatCode="_(&quot;$&quot;* #,##0.00_);_(&quot;$&quot;* \(#,##0.00\);_(&quot;$&quot;* &quot;-&quot;??_);_(@_)">
                  <c:v>1856</c:v>
                </c:pt>
                <c:pt idx="19" formatCode="_(&quot;$&quot;* #,##0.00_);_(&quot;$&quot;* \(#,##0.00\);_(&quot;$&quot;* &quot;-&quot;??_);_(@_)">
                  <c:v>105</c:v>
                </c:pt>
                <c:pt idx="20">
                  <c:v>5</c:v>
                </c:pt>
                <c:pt idx="21" formatCode="_(&quot;$&quot;* #,##0.00_);_(&quot;$&quot;* \(#,##0.00\);_(&quot;$&quot;* &quot;-&quot;??_);_(@_)">
                  <c:v>525</c:v>
                </c:pt>
                <c:pt idx="23" formatCode="_(&quot;$&quot;* #,##0.00_);_(&quot;$&quot;* \(#,##0.00\);_(&quot;$&quot;* &quot;-&quot;??_);_(@_)">
                  <c:v>0</c:v>
                </c:pt>
                <c:pt idx="24">
                  <c:v>4</c:v>
                </c:pt>
                <c:pt idx="25" formatCode="_(&quot;$&quot;* #,##0.00_);_(&quot;$&quot;* \(#,##0.00\);_(&quot;$&quot;* &quot;-&quot;??_);_(@_)">
                  <c:v>50</c:v>
                </c:pt>
                <c:pt idx="26" formatCode="_(&quot;$&quot;* #,##0.00_);_(&quot;$&quot;* \(#,##0.00\);_(&quot;$&quot;* &quot;-&quot;??_);_(@_)">
                  <c:v>200</c:v>
                </c:pt>
                <c:pt idx="27" formatCode="_(&quot;$&quot;* #,##0.00_);_(&quot;$&quot;* \(#,##0.00\);_(&quot;$&quot;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D-4808-9D94-3593AA067B45}"/>
            </c:ext>
          </c:extLst>
        </c:ser>
        <c:ser>
          <c:idx val="2"/>
          <c:order val="2"/>
          <c:tx>
            <c:strRef>
              <c:f>Sheet1!$D$34</c:f>
              <c:strCache>
                <c:ptCount val="1"/>
                <c:pt idx="0">
                  <c:v>Miami Cruise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Sheet1!$A$35:$A$62</c:f>
              <c:strCache>
                <c:ptCount val="28"/>
                <c:pt idx="2">
                  <c:v>Per Person Expenses</c:v>
                </c:pt>
                <c:pt idx="3">
                  <c:v>Air Fare</c:v>
                </c:pt>
                <c:pt idx="4">
                  <c:v>Natural history</c:v>
                </c:pt>
                <c:pt idx="5">
                  <c:v>Chicago Museum of Art</c:v>
                </c:pt>
                <c:pt idx="6">
                  <c:v>Science Museum</c:v>
                </c:pt>
                <c:pt idx="7">
                  <c:v>Museum of Broadcast History</c:v>
                </c:pt>
                <c:pt idx="8">
                  <c:v>Disneyland</c:v>
                </c:pt>
                <c:pt idx="9">
                  <c:v>Universal Studios</c:v>
                </c:pt>
                <c:pt idx="10">
                  <c:v>Sea World</c:v>
                </c:pt>
                <c:pt idx="11">
                  <c:v>Busch Gardens</c:v>
                </c:pt>
                <c:pt idx="12">
                  <c:v>Cruise</c:v>
                </c:pt>
                <c:pt idx="14">
                  <c:v>Subtotal of Tickets (per person)</c:v>
                </c:pt>
                <c:pt idx="15">
                  <c:v>Number of people in group</c:v>
                </c:pt>
                <c:pt idx="16">
                  <c:v>Total costs of ticket</c:v>
                </c:pt>
                <c:pt idx="18">
                  <c:v>Hotel Expenses</c:v>
                </c:pt>
                <c:pt idx="19">
                  <c:v>Hotel Cost per Night</c:v>
                </c:pt>
                <c:pt idx="20">
                  <c:v>Number of Nights</c:v>
                </c:pt>
                <c:pt idx="21">
                  <c:v>Hotel Total</c:v>
                </c:pt>
                <c:pt idx="23">
                  <c:v>Car Rental</c:v>
                </c:pt>
                <c:pt idx="24">
                  <c:v>no of days</c:v>
                </c:pt>
                <c:pt idx="25">
                  <c:v>Food pp</c:v>
                </c:pt>
                <c:pt idx="26">
                  <c:v>total food cost</c:v>
                </c:pt>
                <c:pt idx="27">
                  <c:v>total car rental cost</c:v>
                </c:pt>
              </c:strCache>
            </c:strRef>
          </c:cat>
          <c:val>
            <c:numRef>
              <c:f>Sheet1!$D$35:$D$62</c:f>
              <c:numCache>
                <c:formatCode>General</c:formatCode>
                <c:ptCount val="28"/>
                <c:pt idx="3" formatCode="_(&quot;$&quot;* #,##0.00_);_(&quot;$&quot;* \(#,##0.00\);_(&quot;$&quot;* &quot;-&quot;??_);_(@_)">
                  <c:v>350</c:v>
                </c:pt>
                <c:pt idx="4" formatCode="_(&quot;$&quot;* #,##0.00_);_(&quot;$&quot;* \(#,##0.00\);_(&quot;$&quot;* &quot;-&quot;??_);_(@_)">
                  <c:v>0</c:v>
                </c:pt>
                <c:pt idx="5" formatCode="_(&quot;$&quot;* #,##0.00_);_(&quot;$&quot;* \(#,##0.00\);_(&quot;$&quot;* &quot;-&quot;??_);_(@_)">
                  <c:v>0</c:v>
                </c:pt>
                <c:pt idx="6" formatCode="_(&quot;$&quot;* #,##0.00_);_(&quot;$&quot;* \(#,##0.00\);_(&quot;$&quot;* &quot;-&quot;??_);_(@_)">
                  <c:v>0</c:v>
                </c:pt>
                <c:pt idx="7" formatCode="_(&quot;$&quot;* #,##0.00_);_(&quot;$&quot;* \(#,##0.00\);_(&quot;$&quot;* &quot;-&quot;??_);_(@_)">
                  <c:v>0</c:v>
                </c:pt>
                <c:pt idx="8" formatCode="_(&quot;$&quot;* #,##0.00_);_(&quot;$&quot;* \(#,##0.00\);_(&quot;$&quot;* &quot;-&quot;??_);_(@_)">
                  <c:v>0</c:v>
                </c:pt>
                <c:pt idx="9" formatCode="_(&quot;$&quot;* #,##0.00_);_(&quot;$&quot;* \(#,##0.00\);_(&quot;$&quot;* &quot;-&quot;??_);_(@_)">
                  <c:v>0</c:v>
                </c:pt>
                <c:pt idx="10" formatCode="_(&quot;$&quot;* #,##0.00_);_(&quot;$&quot;* \(#,##0.00\);_(&quot;$&quot;* &quot;-&quot;??_);_(@_)">
                  <c:v>0</c:v>
                </c:pt>
                <c:pt idx="11" formatCode="_(&quot;$&quot;* #,##0.00_);_(&quot;$&quot;* \(#,##0.00\);_(&quot;$&quot;* &quot;-&quot;??_);_(@_)">
                  <c:v>0</c:v>
                </c:pt>
                <c:pt idx="12" formatCode="_(&quot;$&quot;* #,##0.00_);_(&quot;$&quot;* \(#,##0.00\);_(&quot;$&quot;* &quot;-&quot;??_);_(@_)">
                  <c:v>555</c:v>
                </c:pt>
                <c:pt idx="14" formatCode="_(&quot;$&quot;* #,##0.00_);_(&quot;$&quot;* \(#,##0.00\);_(&quot;$&quot;* &quot;-&quot;??_);_(@_)">
                  <c:v>905</c:v>
                </c:pt>
                <c:pt idx="15">
                  <c:v>4</c:v>
                </c:pt>
                <c:pt idx="16" formatCode="_(&quot;$&quot;* #,##0.00_);_(&quot;$&quot;* \(#,##0.00\);_(&quot;$&quot;* &quot;-&quot;??_);_(@_)">
                  <c:v>3620</c:v>
                </c:pt>
                <c:pt idx="19" formatCode="_(&quot;$&quot;* #,##0.00_);_(&quot;$&quot;* \(#,##0.00\);_(&quot;$&quot;* &quot;-&quot;??_);_(@_)">
                  <c:v>0</c:v>
                </c:pt>
                <c:pt idx="20" formatCode="_(&quot;$&quot;* #,##0.00_);_(&quot;$&quot;* \(#,##0.00\);_(&quot;$&quot;* &quot;-&quot;??_);_(@_)">
                  <c:v>0</c:v>
                </c:pt>
                <c:pt idx="21" formatCode="_(&quot;$&quot;* #,##0.00_);_(&quot;$&quot;* \(#,##0.00\);_(&quot;$&quot;* &quot;-&quot;??_);_(@_)">
                  <c:v>0</c:v>
                </c:pt>
                <c:pt idx="23" formatCode="_(&quot;$&quot;* #,##0.00_);_(&quot;$&quot;* \(#,##0.00\);_(&quot;$&quot;* &quot;-&quot;??_);_(@_)">
                  <c:v>0</c:v>
                </c:pt>
                <c:pt idx="24">
                  <c:v>4</c:v>
                </c:pt>
                <c:pt idx="25" formatCode="_(&quot;$&quot;* #,##0.00_);_(&quot;$&quot;* \(#,##0.00\);_(&quot;$&quot;* &quot;-&quot;??_);_(@_)">
                  <c:v>0</c:v>
                </c:pt>
                <c:pt idx="26" formatCode="_(&quot;$&quot;* #,##0.00_);_(&quot;$&quot;* \(#,##0.00\);_(&quot;$&quot;* &quot;-&quot;??_);_(@_)">
                  <c:v>0</c:v>
                </c:pt>
                <c:pt idx="27" formatCode="_(&quot;$&quot;* #,##0.00_);_(&quot;$&quot;* \(#,##0.00\);_(&quot;$&quot;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D-4808-9D94-3593AA067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661888"/>
        <c:axId val="1109660448"/>
      </c:barChart>
      <c:catAx>
        <c:axId val="110966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60448"/>
        <c:crosses val="autoZero"/>
        <c:auto val="1"/>
        <c:lblAlgn val="ctr"/>
        <c:lblOffset val="100"/>
        <c:noMultiLvlLbl val="0"/>
      </c:catAx>
      <c:valAx>
        <c:axId val="110966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6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6</xdr:row>
      <xdr:rowOff>156210</xdr:rowOff>
    </xdr:from>
    <xdr:to>
      <xdr:col>23</xdr:col>
      <xdr:colOff>449580</xdr:colOff>
      <xdr:row>26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30F37-F1F0-0C64-20AB-B7F914043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</xdr:colOff>
      <xdr:row>36</xdr:row>
      <xdr:rowOff>38100</xdr:rowOff>
    </xdr:from>
    <xdr:to>
      <xdr:col>23</xdr:col>
      <xdr:colOff>457200</xdr:colOff>
      <xdr:row>60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582B6F-6184-1851-4662-B51B26A71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9883-CA59-463C-93C5-2BA47EB68C2C}">
  <dimension ref="A1:D64"/>
  <sheetViews>
    <sheetView tabSelected="1" topLeftCell="A67" workbookViewId="0">
      <selection activeCell="C42" sqref="C42"/>
    </sheetView>
  </sheetViews>
  <sheetFormatPr defaultRowHeight="14.4" x14ac:dyDescent="0.3"/>
  <cols>
    <col min="1" max="1" width="25.88671875" bestFit="1" customWidth="1"/>
    <col min="2" max="2" width="19.109375" customWidth="1"/>
    <col min="3" max="3" width="17.21875" customWidth="1"/>
    <col min="4" max="4" width="19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4" spans="1:4" x14ac:dyDescent="0.3">
      <c r="A4" s="3" t="s">
        <v>4</v>
      </c>
      <c r="B4" s="4"/>
      <c r="C4" s="4"/>
      <c r="D4" s="4"/>
    </row>
    <row r="5" spans="1:4" x14ac:dyDescent="0.3">
      <c r="A5" s="4" t="s">
        <v>5</v>
      </c>
      <c r="B5" s="5">
        <v>280</v>
      </c>
      <c r="C5" s="5">
        <v>100</v>
      </c>
      <c r="D5" s="5">
        <v>350</v>
      </c>
    </row>
    <row r="6" spans="1:4" x14ac:dyDescent="0.3">
      <c r="A6" s="4" t="s">
        <v>6</v>
      </c>
      <c r="B6" s="5">
        <v>18</v>
      </c>
      <c r="C6" s="5">
        <v>0</v>
      </c>
      <c r="D6" s="5">
        <v>0</v>
      </c>
    </row>
    <row r="7" spans="1:4" x14ac:dyDescent="0.3">
      <c r="A7" s="4" t="s">
        <v>7</v>
      </c>
      <c r="B7" s="5">
        <v>25</v>
      </c>
      <c r="C7" s="5">
        <v>0</v>
      </c>
      <c r="D7" s="5">
        <v>0</v>
      </c>
    </row>
    <row r="8" spans="1:4" x14ac:dyDescent="0.3">
      <c r="A8" s="4" t="s">
        <v>8</v>
      </c>
      <c r="B8" s="5">
        <v>15</v>
      </c>
      <c r="C8" s="5">
        <v>0</v>
      </c>
      <c r="D8" s="5">
        <v>0</v>
      </c>
    </row>
    <row r="9" spans="1:4" x14ac:dyDescent="0.3">
      <c r="A9" s="4" t="s">
        <v>9</v>
      </c>
      <c r="B9" s="5">
        <v>9</v>
      </c>
      <c r="C9" s="5">
        <v>0</v>
      </c>
      <c r="D9" s="5">
        <v>0</v>
      </c>
    </row>
    <row r="10" spans="1:4" x14ac:dyDescent="0.3">
      <c r="A10" s="4" t="s">
        <v>10</v>
      </c>
      <c r="B10" s="5">
        <v>0</v>
      </c>
      <c r="C10" s="5">
        <v>99</v>
      </c>
      <c r="D10" s="5">
        <v>0</v>
      </c>
    </row>
    <row r="11" spans="1:4" x14ac:dyDescent="0.3">
      <c r="A11" s="4" t="s">
        <v>11</v>
      </c>
      <c r="B11" s="5">
        <v>0</v>
      </c>
      <c r="C11" s="5">
        <v>95</v>
      </c>
      <c r="D11" s="5">
        <v>0</v>
      </c>
    </row>
    <row r="12" spans="1:4" x14ac:dyDescent="0.3">
      <c r="A12" s="4" t="s">
        <v>12</v>
      </c>
      <c r="B12" s="5">
        <v>0</v>
      </c>
      <c r="C12" s="5">
        <v>85</v>
      </c>
      <c r="D12" s="5">
        <v>0</v>
      </c>
    </row>
    <row r="13" spans="1:4" x14ac:dyDescent="0.3">
      <c r="A13" s="4" t="s">
        <v>13</v>
      </c>
      <c r="B13" s="5">
        <v>0</v>
      </c>
      <c r="C13" s="5">
        <v>85</v>
      </c>
      <c r="D13" s="5">
        <v>0</v>
      </c>
    </row>
    <row r="14" spans="1:4" x14ac:dyDescent="0.3">
      <c r="A14" s="4" t="s">
        <v>14</v>
      </c>
      <c r="B14" s="4">
        <v>0</v>
      </c>
      <c r="C14" s="4">
        <v>0</v>
      </c>
      <c r="D14" s="5">
        <v>555</v>
      </c>
    </row>
    <row r="16" spans="1:4" x14ac:dyDescent="0.3">
      <c r="A16" t="s">
        <v>15</v>
      </c>
      <c r="B16" s="2">
        <f>SUM(B5:B14)</f>
        <v>347</v>
      </c>
      <c r="C16" s="2">
        <f t="shared" ref="C16:D16" si="0">SUM(C5:C14)</f>
        <v>464</v>
      </c>
      <c r="D16" s="2">
        <f t="shared" si="0"/>
        <v>905</v>
      </c>
    </row>
    <row r="17" spans="1:4" x14ac:dyDescent="0.3">
      <c r="A17" t="s">
        <v>16</v>
      </c>
      <c r="B17">
        <v>2</v>
      </c>
      <c r="C17">
        <v>2</v>
      </c>
      <c r="D17">
        <v>2</v>
      </c>
    </row>
    <row r="18" spans="1:4" x14ac:dyDescent="0.3">
      <c r="A18" t="s">
        <v>17</v>
      </c>
      <c r="B18" s="2">
        <f>B16*B17</f>
        <v>694</v>
      </c>
      <c r="C18" s="2">
        <f t="shared" ref="C18:D18" si="1">C16*C17</f>
        <v>928</v>
      </c>
      <c r="D18" s="2">
        <f t="shared" si="1"/>
        <v>1810</v>
      </c>
    </row>
    <row r="20" spans="1:4" x14ac:dyDescent="0.3">
      <c r="A20" s="6" t="s">
        <v>18</v>
      </c>
      <c r="B20" s="7"/>
      <c r="C20" s="7"/>
      <c r="D20" s="7"/>
    </row>
    <row r="21" spans="1:4" x14ac:dyDescent="0.3">
      <c r="A21" s="7" t="s">
        <v>19</v>
      </c>
      <c r="B21" s="8">
        <v>120</v>
      </c>
      <c r="C21" s="8">
        <v>105</v>
      </c>
      <c r="D21" s="8">
        <v>0</v>
      </c>
    </row>
    <row r="22" spans="1:4" x14ac:dyDescent="0.3">
      <c r="A22" s="7" t="s">
        <v>20</v>
      </c>
      <c r="B22" s="9">
        <v>5</v>
      </c>
      <c r="C22" s="9">
        <v>5</v>
      </c>
      <c r="D22" s="8">
        <v>0</v>
      </c>
    </row>
    <row r="23" spans="1:4" x14ac:dyDescent="0.3">
      <c r="A23" s="7" t="s">
        <v>21</v>
      </c>
      <c r="B23" s="8">
        <f>B21*B22</f>
        <v>600</v>
      </c>
      <c r="C23" s="8">
        <f t="shared" ref="C23:D23" si="2">C21*C22</f>
        <v>525</v>
      </c>
      <c r="D23" s="8">
        <f t="shared" si="2"/>
        <v>0</v>
      </c>
    </row>
    <row r="24" spans="1:4" x14ac:dyDescent="0.3">
      <c r="B24" s="1"/>
      <c r="C24" s="1"/>
      <c r="D24" s="1"/>
    </row>
    <row r="25" spans="1:4" x14ac:dyDescent="0.3">
      <c r="A25" s="10" t="s">
        <v>22</v>
      </c>
      <c r="B25" s="11">
        <v>40</v>
      </c>
      <c r="C25" s="11">
        <v>0</v>
      </c>
      <c r="D25" s="11">
        <v>0</v>
      </c>
    </row>
    <row r="26" spans="1:4" x14ac:dyDescent="0.3">
      <c r="A26" s="10" t="s">
        <v>27</v>
      </c>
      <c r="B26" s="12">
        <v>4</v>
      </c>
      <c r="C26" s="12">
        <v>4</v>
      </c>
      <c r="D26" s="12">
        <v>4</v>
      </c>
    </row>
    <row r="27" spans="1:4" x14ac:dyDescent="0.3">
      <c r="A27" s="10" t="s">
        <v>26</v>
      </c>
      <c r="B27" s="11">
        <v>50</v>
      </c>
      <c r="C27" s="11">
        <v>50</v>
      </c>
      <c r="D27" s="11">
        <v>0</v>
      </c>
    </row>
    <row r="28" spans="1:4" x14ac:dyDescent="0.3">
      <c r="A28" s="10" t="s">
        <v>23</v>
      </c>
      <c r="B28" s="13">
        <f>B27*B17</f>
        <v>100</v>
      </c>
      <c r="C28" s="13">
        <f t="shared" ref="C28:D28" si="3">C27*C17</f>
        <v>100</v>
      </c>
      <c r="D28" s="13">
        <f t="shared" si="3"/>
        <v>0</v>
      </c>
    </row>
    <row r="29" spans="1:4" x14ac:dyDescent="0.3">
      <c r="A29" s="10" t="s">
        <v>24</v>
      </c>
      <c r="B29" s="13">
        <f>B25*B26</f>
        <v>160</v>
      </c>
      <c r="C29" s="13">
        <f t="shared" ref="C29:D29" si="4">C25*C26</f>
        <v>0</v>
      </c>
      <c r="D29" s="13">
        <f t="shared" si="4"/>
        <v>0</v>
      </c>
    </row>
    <row r="31" spans="1:4" x14ac:dyDescent="0.3">
      <c r="A31" t="s">
        <v>25</v>
      </c>
      <c r="B31" s="2">
        <f>B18+B23+B29+B28</f>
        <v>1554</v>
      </c>
      <c r="C31" s="2">
        <f t="shared" ref="C31:D31" si="5">C18+C23+C29+C28</f>
        <v>1553</v>
      </c>
      <c r="D31" s="2">
        <f t="shared" si="5"/>
        <v>1810</v>
      </c>
    </row>
    <row r="34" spans="1:4" x14ac:dyDescent="0.3">
      <c r="A34" t="s">
        <v>28</v>
      </c>
      <c r="B34" t="s">
        <v>1</v>
      </c>
      <c r="C34" t="s">
        <v>3</v>
      </c>
      <c r="D34" t="s">
        <v>2</v>
      </c>
    </row>
    <row r="37" spans="1:4" x14ac:dyDescent="0.3">
      <c r="A37" s="3" t="s">
        <v>4</v>
      </c>
      <c r="B37" s="4"/>
      <c r="C37" s="4"/>
      <c r="D37" s="4"/>
    </row>
    <row r="38" spans="1:4" x14ac:dyDescent="0.3">
      <c r="A38" s="4" t="s">
        <v>5</v>
      </c>
      <c r="B38" s="5">
        <v>280</v>
      </c>
      <c r="C38" s="5">
        <v>100</v>
      </c>
      <c r="D38" s="5">
        <v>350</v>
      </c>
    </row>
    <row r="39" spans="1:4" x14ac:dyDescent="0.3">
      <c r="A39" s="4" t="s">
        <v>6</v>
      </c>
      <c r="B39" s="5">
        <v>18</v>
      </c>
      <c r="C39" s="5">
        <v>0</v>
      </c>
      <c r="D39" s="5">
        <v>0</v>
      </c>
    </row>
    <row r="40" spans="1:4" x14ac:dyDescent="0.3">
      <c r="A40" s="4" t="s">
        <v>7</v>
      </c>
      <c r="B40" s="5">
        <v>25</v>
      </c>
      <c r="C40" s="5">
        <v>0</v>
      </c>
      <c r="D40" s="5">
        <v>0</v>
      </c>
    </row>
    <row r="41" spans="1:4" x14ac:dyDescent="0.3">
      <c r="A41" s="4" t="s">
        <v>8</v>
      </c>
      <c r="B41" s="5">
        <v>15</v>
      </c>
      <c r="C41" s="5">
        <v>0</v>
      </c>
      <c r="D41" s="5">
        <v>0</v>
      </c>
    </row>
    <row r="42" spans="1:4" x14ac:dyDescent="0.3">
      <c r="A42" s="4" t="s">
        <v>9</v>
      </c>
      <c r="B42" s="5">
        <v>9</v>
      </c>
      <c r="C42" s="5">
        <v>0</v>
      </c>
      <c r="D42" s="5">
        <v>0</v>
      </c>
    </row>
    <row r="43" spans="1:4" x14ac:dyDescent="0.3">
      <c r="A43" s="4" t="s">
        <v>10</v>
      </c>
      <c r="B43" s="5">
        <v>0</v>
      </c>
      <c r="C43" s="5">
        <v>99</v>
      </c>
      <c r="D43" s="5">
        <v>0</v>
      </c>
    </row>
    <row r="44" spans="1:4" x14ac:dyDescent="0.3">
      <c r="A44" s="4" t="s">
        <v>11</v>
      </c>
      <c r="B44" s="5">
        <v>0</v>
      </c>
      <c r="C44" s="5">
        <v>95</v>
      </c>
      <c r="D44" s="5">
        <v>0</v>
      </c>
    </row>
    <row r="45" spans="1:4" x14ac:dyDescent="0.3">
      <c r="A45" s="4" t="s">
        <v>12</v>
      </c>
      <c r="B45" s="5">
        <v>0</v>
      </c>
      <c r="C45" s="5">
        <v>85</v>
      </c>
      <c r="D45" s="5">
        <v>0</v>
      </c>
    </row>
    <row r="46" spans="1:4" x14ac:dyDescent="0.3">
      <c r="A46" s="4" t="s">
        <v>13</v>
      </c>
      <c r="B46" s="5">
        <v>0</v>
      </c>
      <c r="C46" s="5">
        <v>85</v>
      </c>
      <c r="D46" s="5">
        <v>0</v>
      </c>
    </row>
    <row r="47" spans="1:4" x14ac:dyDescent="0.3">
      <c r="A47" s="4" t="s">
        <v>14</v>
      </c>
      <c r="B47" s="4">
        <v>0</v>
      </c>
      <c r="C47" s="4">
        <v>0</v>
      </c>
      <c r="D47" s="5">
        <v>555</v>
      </c>
    </row>
    <row r="49" spans="1:4" x14ac:dyDescent="0.3">
      <c r="A49" t="s">
        <v>15</v>
      </c>
      <c r="B49" s="2">
        <f>SUM(B38:B47)</f>
        <v>347</v>
      </c>
      <c r="C49" s="2">
        <f t="shared" ref="C49:D49" si="6">SUM(C38:C47)</f>
        <v>464</v>
      </c>
      <c r="D49" s="2">
        <f t="shared" si="6"/>
        <v>905</v>
      </c>
    </row>
    <row r="50" spans="1:4" x14ac:dyDescent="0.3">
      <c r="A50" t="s">
        <v>16</v>
      </c>
      <c r="B50">
        <v>4</v>
      </c>
      <c r="C50">
        <v>4</v>
      </c>
      <c r="D50">
        <v>4</v>
      </c>
    </row>
    <row r="51" spans="1:4" x14ac:dyDescent="0.3">
      <c r="A51" t="s">
        <v>17</v>
      </c>
      <c r="B51" s="2">
        <f>B49*B50</f>
        <v>1388</v>
      </c>
      <c r="C51" s="2">
        <f t="shared" ref="C51" si="7">C49*C50</f>
        <v>1856</v>
      </c>
      <c r="D51" s="2">
        <f t="shared" ref="D51" si="8">D49*D50</f>
        <v>3620</v>
      </c>
    </row>
    <row r="53" spans="1:4" x14ac:dyDescent="0.3">
      <c r="A53" s="6" t="s">
        <v>18</v>
      </c>
      <c r="B53" s="7"/>
      <c r="C53" s="7"/>
      <c r="D53" s="7"/>
    </row>
    <row r="54" spans="1:4" x14ac:dyDescent="0.3">
      <c r="A54" s="7" t="s">
        <v>19</v>
      </c>
      <c r="B54" s="8">
        <v>120</v>
      </c>
      <c r="C54" s="8">
        <v>105</v>
      </c>
      <c r="D54" s="8">
        <v>0</v>
      </c>
    </row>
    <row r="55" spans="1:4" x14ac:dyDescent="0.3">
      <c r="A55" s="7" t="s">
        <v>20</v>
      </c>
      <c r="B55" s="9">
        <v>5</v>
      </c>
      <c r="C55" s="9">
        <v>5</v>
      </c>
      <c r="D55" s="8">
        <v>0</v>
      </c>
    </row>
    <row r="56" spans="1:4" x14ac:dyDescent="0.3">
      <c r="A56" s="7" t="s">
        <v>21</v>
      </c>
      <c r="B56" s="8">
        <f>B54*B55</f>
        <v>600</v>
      </c>
      <c r="C56" s="8">
        <f t="shared" ref="C56" si="9">C54*C55</f>
        <v>525</v>
      </c>
      <c r="D56" s="8">
        <f t="shared" ref="D56" si="10">D54*D55</f>
        <v>0</v>
      </c>
    </row>
    <row r="57" spans="1:4" x14ac:dyDescent="0.3">
      <c r="B57" s="1"/>
      <c r="C57" s="1"/>
      <c r="D57" s="1"/>
    </row>
    <row r="58" spans="1:4" x14ac:dyDescent="0.3">
      <c r="A58" s="10" t="s">
        <v>22</v>
      </c>
      <c r="B58" s="11">
        <v>40</v>
      </c>
      <c r="C58" s="11">
        <v>0</v>
      </c>
      <c r="D58" s="11">
        <v>0</v>
      </c>
    </row>
    <row r="59" spans="1:4" x14ac:dyDescent="0.3">
      <c r="A59" s="10" t="s">
        <v>27</v>
      </c>
      <c r="B59" s="12">
        <v>4</v>
      </c>
      <c r="C59" s="12">
        <v>4</v>
      </c>
      <c r="D59" s="12">
        <v>4</v>
      </c>
    </row>
    <row r="60" spans="1:4" x14ac:dyDescent="0.3">
      <c r="A60" s="10" t="s">
        <v>26</v>
      </c>
      <c r="B60" s="11">
        <v>50</v>
      </c>
      <c r="C60" s="11">
        <v>50</v>
      </c>
      <c r="D60" s="11">
        <v>0</v>
      </c>
    </row>
    <row r="61" spans="1:4" x14ac:dyDescent="0.3">
      <c r="A61" s="10" t="s">
        <v>23</v>
      </c>
      <c r="B61" s="13">
        <f>B60*B50</f>
        <v>200</v>
      </c>
      <c r="C61" s="13">
        <f t="shared" ref="C61" si="11">C60*C50</f>
        <v>200</v>
      </c>
      <c r="D61" s="13">
        <f t="shared" ref="D61" si="12">D60*D50</f>
        <v>0</v>
      </c>
    </row>
    <row r="62" spans="1:4" x14ac:dyDescent="0.3">
      <c r="A62" s="10" t="s">
        <v>24</v>
      </c>
      <c r="B62" s="13">
        <f>B58*B59</f>
        <v>160</v>
      </c>
      <c r="C62" s="13">
        <f t="shared" ref="C62:D62" si="13">C58*C59</f>
        <v>0</v>
      </c>
      <c r="D62" s="13">
        <f t="shared" si="13"/>
        <v>0</v>
      </c>
    </row>
    <row r="64" spans="1:4" x14ac:dyDescent="0.3">
      <c r="A64" t="s">
        <v>25</v>
      </c>
      <c r="B64" s="2">
        <f>B51+B56+B62+B61</f>
        <v>2348</v>
      </c>
      <c r="C64" s="2">
        <f t="shared" ref="C64:D64" si="14">C51+C56+C62+C61</f>
        <v>2581</v>
      </c>
      <c r="D64" s="2">
        <f t="shared" si="14"/>
        <v>3620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NAMRATHA BC</dc:creator>
  <cp:lastModifiedBy>NAMRATHA BC</cp:lastModifiedBy>
  <dcterms:created xsi:type="dcterms:W3CDTF">2026-06-27T08:04:31Z</dcterms:created>
  <dcterms:modified xsi:type="dcterms:W3CDTF">2026-06-27T08:33:42Z</dcterms:modified>
</cp:coreProperties>
</file>